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upuestos" sheetId="2" state="visible" r:id="rId4"/>
    <sheet name="Niveles" sheetId="3" state="visible" r:id="rId5"/>
    <sheet name="Motor y HAL" sheetId="4" state="visible" r:id="rId6"/>
    <sheet name="Desglos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<sst xmlns="http://schemas.openxmlformats.org/spreadsheetml/2006/main" count="451" uniqueCount="320">
  <si>
    <t xml:space="preserve">Resumen — niveles y costo de GPIO Génesis × LIIE1214 (solo los 3 bloques de la página)</t>
  </si>
  <si>
    <t xml:space="preserve">MVP = 5 niveles de GPIO · 3 bloques = GPIO, Tiempo y serie, Analógico y buses (22 niveles). El detalle por parte y por tipo de trabajo está en la hoja Desglose.</t>
  </si>
  <si>
    <t xml:space="preserve">Concepto</t>
  </si>
  <si>
    <t xml:space="preserve">MVP</t>
  </si>
  <si>
    <t xml:space="preserve">3 bloques</t>
  </si>
  <si>
    <t xml:space="preserve">Niveles</t>
  </si>
  <si>
    <t xml:space="preserve">Horas totales</t>
  </si>
  <si>
    <t xml:space="preserve">   de programación</t>
  </si>
  <si>
    <t xml:space="preserve">   de diseño gráfico</t>
  </si>
  <si>
    <t xml:space="preserve">   de sonido</t>
  </si>
  <si>
    <t xml:space="preserve">   de diseño de niveles y contenido</t>
  </si>
  <si>
    <t xml:space="preserve">   de pruebas y gestión</t>
  </si>
  <si>
    <t xml:space="preserve">Semanas necesarias (personas × h/semana)</t>
  </si>
  <si>
    <t xml:space="preserve">Semanas de más contra las disponibles</t>
  </si>
  <si>
    <t xml:space="preserve">COSTO (MXN)</t>
  </si>
  <si>
    <t xml:space="preserve">Desarrollo contando horas, con indirectos y contingencia</t>
  </si>
  <si>
    <t xml:space="preserve">Lanzamiento, 12 meses (Steam, dominio, firma, Supabase Pro)</t>
  </si>
  <si>
    <t xml:space="preserve">TOTAL DEL PROYECTO contando horas</t>
  </si>
  <si>
    <t xml:space="preserve">Dinero real que sale (sin horas)</t>
  </si>
  <si>
    <t xml:space="preserve">ECONOMÍA POR JUGADOR</t>
  </si>
  <si>
    <t xml:space="preserve">IA por jugador, modelo base (MXN)</t>
  </si>
  <si>
    <t xml:space="preserve">IA por jugador, Haiku 4.5 (MXN)</t>
  </si>
  <si>
    <t xml:space="preserve">Ingreso neto por copia (precio − comisión)</t>
  </si>
  <si>
    <t xml:space="preserve">IA como % del ingreso neto (modelo base)</t>
  </si>
  <si>
    <t xml:space="preserve">IA como % del ingreso neto (Haiku 4.5)</t>
  </si>
  <si>
    <t xml:space="preserve">Margen por copia tras IA (MXN)</t>
  </si>
  <si>
    <t xml:space="preserve">PUNTO DE EQUILIBRIO PRELIMINAR (el formal es del Bloque 4)</t>
  </si>
  <si>
    <t xml:space="preserve">Copias para cubrir todo, contando horas</t>
  </si>
  <si>
    <t xml:space="preserve">Copias para cubrir solo el dinero real</t>
  </si>
  <si>
    <t xml:space="preserve">Precio mínimo si se venden las copias del escenario bajo (MXN)</t>
  </si>
  <si>
    <t xml:space="preserve">Precio mínimo si se venden las copias del escenario alto (MXN)</t>
  </si>
  <si>
    <t xml:space="preserve">Lectura rápida</t>
  </si>
  <si>
    <t xml:space="preserve">1) La página del curso solo incluye los 3 bloques (GPIO, Tiempo y serie, Analógico y buses): no se contempla PIO, DMA, multicore ni Micromouse.</t>
  </si>
  <si>
    <t xml:space="preserve">2) La página es del RP2350 / Pico 2 con el Pico SDK, en C, sin Arduino. El juego de las semanas 5–6 usa la API de Arduino-ESP32 (pinMode, pin D5). Para alumnos de este curso conviene la API del Pico SDK; eso toca RI-04 y los documentos de las semanas 5 y 6.</t>
  </si>
  <si>
    <t xml:space="preserve">3) Con las horas por semana del supuesto ni el MVP cabe en 6 semanas. Lo que decide es cuántas horas reales pueden dar y hasta qué fecha.</t>
  </si>
  <si>
    <t xml:space="preserve">4) Lo caro es el motor y simular cada periférico; el arte de máquinas nuevas, el pulido de interfaz y el sonido ahora están contados por separado en la hoja Desglose.</t>
  </si>
  <si>
    <t xml:space="preserve">5) La IA cuesta poco con Haiku 5.5; con Haiku 4.5 y todas las ayudas en la nube pesaría mucho más (ver el % del ingreso neto).</t>
  </si>
  <si>
    <t xml:space="preserve">Supuestos — GPIO Génesis × Embedded Systems I (LIIE1214), solo los 3 bloques de la página</t>
  </si>
  <si>
    <t xml:space="preserve">Tipo de cambio (MXN por USD)</t>
  </si>
  <si>
    <t xml:space="preserve">Del proyecto (semana 5).</t>
  </si>
  <si>
    <t xml:space="preserve">Precio de venta por copia (MXN)</t>
  </si>
  <si>
    <t xml:space="preserve">Provisional (semana 5). Se decide en el Bloque 4.</t>
  </si>
  <si>
    <t xml:space="preserve">Comisión del canal (Steam)</t>
  </si>
  <si>
    <t xml:space="preserve">Del proyecto; falta verificar.</t>
  </si>
  <si>
    <t xml:space="preserve">Horas por máquina nueva (sprites + animación)</t>
  </si>
  <si>
    <t xml:space="preserve">SUPUESTO: ~3 h de sprite y ~3 h de animación.</t>
  </si>
  <si>
    <t xml:space="preserve">Costos indirectos (% de los directos)</t>
  </si>
  <si>
    <t xml:space="preserve">Rango del curso 10–20%.</t>
  </si>
  <si>
    <t xml:space="preserve">Reserva de contingencia</t>
  </si>
  <si>
    <t xml:space="preserve">Rango del curso 25–40%.</t>
  </si>
  <si>
    <t xml:space="preserve">% de consultas de ayuda que van a la nube</t>
  </si>
  <si>
    <t xml:space="preserve">Pistas 1–2 locales, 3–4 nube (Prompt 6 de la semana 6).</t>
  </si>
  <si>
    <t xml:space="preserve">Personas en el equipo</t>
  </si>
  <si>
    <t xml:space="preserve">José Carlos y Yael.</t>
  </si>
  <si>
    <t xml:space="preserve">Horas por semana por persona para el proyecto</t>
  </si>
  <si>
    <t xml:space="preserve">SUPUESTO: cámbienlo por lo que realmente pueden dar.</t>
  </si>
  <si>
    <t xml:space="preserve">Semanas disponibles (de la semana 7 a la 13)</t>
  </si>
  <si>
    <t xml:space="preserve">SUPUESTO: 'hasta la semana 13' (guía de la semana 6). Confirmar.</t>
  </si>
  <si>
    <t xml:space="preserve">Modelo de IA base</t>
  </si>
  <si>
    <t xml:space="preserve">Claude Haiku 5.5</t>
  </si>
  <si>
    <t xml:space="preserve">Se elige de la lista.</t>
  </si>
  <si>
    <t xml:space="preserve">Precio de entrada del modelo base (USD por millón)</t>
  </si>
  <si>
    <t xml:space="preserve">Precio de salida del modelo base (USD por millón)</t>
  </si>
  <si>
    <t xml:space="preserve">Copias para el precio de equilibrio (bajo)</t>
  </si>
  <si>
    <t xml:space="preserve">Copias para el precio de equilibrio (alto)</t>
  </si>
  <si>
    <t xml:space="preserve">Consultas de prueba por nivel durante el desarrollo</t>
  </si>
  <si>
    <t xml:space="preserve">SUPUESTO: probar el prompt del copiloto en cada nivel.</t>
  </si>
  <si>
    <t xml:space="preserve">Horas de sonido por nivel (elegir y mezclar efectos)</t>
  </si>
  <si>
    <t xml:space="preserve">SUPUESTO.</t>
  </si>
  <si>
    <t xml:space="preserve">Precios de la API de Claude (USD por millón de tokens) — platform.claude.com, consultados el 9-oct-2026</t>
  </si>
  <si>
    <t xml:space="preserve">Modelo</t>
  </si>
  <si>
    <t xml:space="preserve">Entrada</t>
  </si>
  <si>
    <t xml:space="preserve">Salida</t>
  </si>
  <si>
    <t xml:space="preserve">Claude Haiku 4.5</t>
  </si>
  <si>
    <t xml:space="preserve">Claude Sonnet 5.5</t>
  </si>
  <si>
    <t xml:space="preserve">Complejidad de un nivel — horas base (programación, diseño del nivel y pruebas; el arte y el sonido se cuentan aparte)</t>
  </si>
  <si>
    <t xml:space="preserve">Complejidad</t>
  </si>
  <si>
    <t xml:space="preserve">Horas base</t>
  </si>
  <si>
    <t xml:space="preserve">Tokens entrada</t>
  </si>
  <si>
    <t xml:space="preserve">Tokens salida</t>
  </si>
  <si>
    <t xml:space="preserve">Consultas de ayuda</t>
  </si>
  <si>
    <t xml:space="preserve">% programación</t>
  </si>
  <si>
    <t xml:space="preserve">% diseño de nivel y contenido</t>
  </si>
  <si>
    <t xml:space="preserve">% pruebas</t>
  </si>
  <si>
    <t xml:space="preserve">Suma</t>
  </si>
  <si>
    <t xml:space="preserve">Qué incluye</t>
  </si>
  <si>
    <t xml:space="preserve">S</t>
  </si>
  <si>
    <t xml:space="preserve">Variación de algo ya construido.</t>
  </si>
  <si>
    <t xml:space="preserve">M</t>
  </si>
  <si>
    <t xml:space="preserve">Concepto nuevo.</t>
  </si>
  <si>
    <t xml:space="preserve">L</t>
  </si>
  <si>
    <t xml:space="preserve">Varios conceptos o mediciones; más pistas y casos de error.</t>
  </si>
  <si>
    <t xml:space="preserve">XL</t>
  </si>
  <si>
    <t xml:space="preserve">Mecánica compleja (no se usa con los 3 bloques).</t>
  </si>
  <si>
    <t xml:space="preserve">Todo lo amarillo es estimación de Claude. Las 300 consultas por jugador de la semana 5 equivalen a ~60 por nivel en 5 niveles.</t>
  </si>
  <si>
    <t xml:space="preserve">Tarifa por hora según el tipo de trabajo (MXN)</t>
  </si>
  <si>
    <t xml:space="preserve">Disciplina</t>
  </si>
  <si>
    <t xml:space="preserve">MXN por hora</t>
  </si>
  <si>
    <t xml:space="preserve">Nota</t>
  </si>
  <si>
    <t xml:space="preserve">Programación</t>
  </si>
  <si>
    <t xml:space="preserve">Ejemplo del curso ($80/h). Costo de oportunidad: nadie se paga en efectivo.</t>
  </si>
  <si>
    <t xml:space="preserve">Diseño gráfico</t>
  </si>
  <si>
    <t xml:space="preserve">Sonido</t>
  </si>
  <si>
    <t xml:space="preserve">Diseño de niveles y contenido</t>
  </si>
  <si>
    <t xml:space="preserve">Pruebas y gestión</t>
  </si>
  <si>
    <t xml:space="preserve">Costos de lanzamiento (12 meses)</t>
  </si>
  <si>
    <t xml:space="preserve">USD</t>
  </si>
  <si>
    <t xml:space="preserve">Estado</t>
  </si>
  <si>
    <t xml:space="preserve">Cuota de Steam</t>
  </si>
  <si>
    <t xml:space="preserve">Verificado 9-oct-2026</t>
  </si>
  <si>
    <t xml:space="preserve">Dominio</t>
  </si>
  <si>
    <t xml:space="preserve">ESTIMADO</t>
  </si>
  <si>
    <t xml:space="preserve">Firma de código de Windows (OV)</t>
  </si>
  <si>
    <t xml:space="preserve">Supabase Pro (25 USD × 12)</t>
  </si>
  <si>
    <t xml:space="preserve">Verificado 9-oct-2026 (precio 'desde')</t>
  </si>
  <si>
    <t xml:space="preserve">Total USD</t>
  </si>
  <si>
    <t xml:space="preserve">Total MXN</t>
  </si>
  <si>
    <t xml:space="preserve">Niveles propuestos — solo los temas de los 3 bloques de la página del curso</t>
  </si>
  <si>
    <t xml:space="preserve">Escenario mínimo: 1 = MVP (5 niveles), 2 = los 3 bloques completos. Azul = editable. El arte de máquinas nuevas y el sonido van aparte de las horas base.</t>
  </si>
  <si>
    <t xml:space="preserve">#</t>
  </si>
  <si>
    <t xml:space="preserve">Bloque</t>
  </si>
  <si>
    <t xml:space="preserve">Nivel (nombre en el juego)</t>
  </si>
  <si>
    <t xml:space="preserve">Tema del curso</t>
  </si>
  <si>
    <t xml:space="preserve">Concepto / API Pico SDK</t>
  </si>
  <si>
    <t xml:space="preserve">Máquina o escenario en la fábrica</t>
  </si>
  <si>
    <t xml:space="preserve">Escenario mínimo</t>
  </si>
  <si>
    <t xml:space="preserve">Máquinas nuevas</t>
  </si>
  <si>
    <t xml:space="preserve">Prog. h</t>
  </si>
  <si>
    <t xml:space="preserve">Diseño de nivel h</t>
  </si>
  <si>
    <t xml:space="preserve">Pruebas h</t>
  </si>
  <si>
    <t xml:space="preserve">Arte h</t>
  </si>
  <si>
    <t xml:space="preserve">Sonido h</t>
  </si>
  <si>
    <t xml:space="preserve">HORAS TOTALES</t>
  </si>
  <si>
    <t xml:space="preserve">Costo base MXN</t>
  </si>
  <si>
    <t xml:space="preserve">Costo arte MXN</t>
  </si>
  <si>
    <t xml:space="preserve">Costo sonido MXN</t>
  </si>
  <si>
    <t xml:space="preserve">COSTO TOTAL MXN</t>
  </si>
  <si>
    <t xml:space="preserve">USD por consulta (modelo base)</t>
  </si>
  <si>
    <t xml:space="preserve">IA por jugador MXN (modelo base)</t>
  </si>
  <si>
    <t xml:space="preserve">IA por jugador MXN (Haiku 4.5)</t>
  </si>
  <si>
    <t xml:space="preserve">Pruebas de IA en desarrollo MXN</t>
  </si>
  <si>
    <t xml:space="preserve">Bloque 1 · GPIO</t>
  </si>
  <si>
    <t xml:space="preserve">Arranque de línea</t>
  </si>
  <si>
    <t xml:space="preserve">Entorno y toolchain + Control de GPIO</t>
  </si>
  <si>
    <t xml:space="preserve">gpio_init, gpio_set_dir, gpio_put; compilar y cargar</t>
  </si>
  <si>
    <t xml:space="preserve">Motor de la banda</t>
  </si>
  <si>
    <t xml:space="preserve">Tres estaciones</t>
  </si>
  <si>
    <t xml:space="preserve">Control de GPIO</t>
  </si>
  <si>
    <t xml:space="preserve">Máscaras 1u&lt;&lt;n; sio_hw-&gt;gpio_set/clr/togl</t>
  </si>
  <si>
    <t xml:space="preserve">Tres luces de estación</t>
  </si>
  <si>
    <t xml:space="preserve">Contador de chasis</t>
  </si>
  <si>
    <t xml:space="preserve">Contador binario de 4 bits (valor &lt;&lt; 2)</t>
  </si>
  <si>
    <t xml:space="preserve">Tablero de 4 LEDs</t>
  </si>
  <si>
    <t xml:space="preserve">Luces de turno</t>
  </si>
  <si>
    <t xml:space="preserve">Patrones: luz que rebota, llenar/vaciar, fuera→dentro</t>
  </si>
  <si>
    <t xml:space="preserve">Marquesina de la nave</t>
  </si>
  <si>
    <t xml:space="preserve">Sensor de presencia</t>
  </si>
  <si>
    <t xml:space="preserve">Entradas digitales</t>
  </si>
  <si>
    <t xml:space="preserve">gpio_get, pull-up/pull-down, lógica activa en bajo</t>
  </si>
  <si>
    <t xml:space="preserve">Sensor + botón</t>
  </si>
  <si>
    <t xml:space="preserve">Botón de paro sin rebote</t>
  </si>
  <si>
    <t xml:space="preserve">Antirrebote: retardo fijo, ventana deslizante, máquina de estados</t>
  </si>
  <si>
    <t xml:space="preserve">Botón de paro</t>
  </si>
  <si>
    <t xml:space="preserve">Paro de emergencia</t>
  </si>
  <si>
    <t xml:space="preserve">Interrupciones</t>
  </si>
  <si>
    <t xml:space="preserve">ISR por flanco, limpiar la bandera, callback de GPIO</t>
  </si>
  <si>
    <t xml:space="preserve">Botón de emergencia</t>
  </si>
  <si>
    <t xml:space="preserve">Dos botones, un callback</t>
  </si>
  <si>
    <t xml:space="preserve">Un callback compartido, flanco vs nivel</t>
  </si>
  <si>
    <t xml:space="preserve">Dos botones de línea</t>
  </si>
  <si>
    <t xml:space="preserve">Quién va primero</t>
  </si>
  <si>
    <t xml:space="preserve">Latencia, prioridades NVIC, BASEPRI vs PRIMASK, pin de traza</t>
  </si>
  <si>
    <t xml:space="preserve">Dos alarmas simultáneas</t>
  </si>
  <si>
    <t xml:space="preserve">Bloque 2 · Tiempo y serie</t>
  </si>
  <si>
    <t xml:space="preserve">Metrónomo de la banda</t>
  </si>
  <si>
    <t xml:space="preserve">Timers</t>
  </si>
  <si>
    <t xml:space="preserve">add_repeating_timer_ms; período vs frecuencia</t>
  </si>
  <si>
    <t xml:space="preserve">Banda con pulsos</t>
  </si>
  <si>
    <t xml:space="preserve">Sin deriva</t>
  </si>
  <si>
    <t xml:space="preserve">Alarmas de hardware, deadlines acumulativos, jitter y drift</t>
  </si>
  <si>
    <t xml:space="preserve">Sincronía de dos máquinas</t>
  </si>
  <si>
    <t xml:space="preserve">Sin bloquear la línea</t>
  </si>
  <si>
    <t xml:space="preserve">Timer en segundo plano mientras main() lee entradas</t>
  </si>
  <si>
    <t xml:space="preserve">Línea que sigue mientras se lee un botón</t>
  </si>
  <si>
    <t xml:space="preserve">Atardecer en la nave</t>
  </si>
  <si>
    <t xml:space="preserve">PWM</t>
  </si>
  <si>
    <t xml:space="preserve">Slice, TOP, divisor, duty; fade de LED</t>
  </si>
  <si>
    <t xml:space="preserve">Iluminación de la nave</t>
  </si>
  <si>
    <t xml:space="preserve">Brazo robótico</t>
  </si>
  <si>
    <t xml:space="preserve">Servo a 50 Hz, pulsos de 1–2 ms</t>
  </si>
  <si>
    <t xml:space="preserve">Brazo de ensamble</t>
  </si>
  <si>
    <t xml:space="preserve">Velocidad de la banda</t>
  </si>
  <si>
    <t xml:space="preserve">Motor DC a 15–25 kHz, duty, valor medio y RMS</t>
  </si>
  <si>
    <t xml:space="preserve">Primer mensaje</t>
  </si>
  <si>
    <t xml:space="preserve">UART</t>
  </si>
  <si>
    <t xml:space="preserve">8N1, baudios, uart_putc/getc</t>
  </si>
  <si>
    <t xml:space="preserve">Consola de planta</t>
  </si>
  <si>
    <t xml:space="preserve">Ni un byte perdido</t>
  </si>
  <si>
    <t xml:space="preserve">ISR de RX, ring buffer, overrun y framing</t>
  </si>
  <si>
    <t xml:space="preserve">Enlace con otra placa</t>
  </si>
  <si>
    <t xml:space="preserve">Bloque 3 · Analógico y buses</t>
  </si>
  <si>
    <t xml:space="preserve">Perilla de mando</t>
  </si>
  <si>
    <t xml:space="preserve">ADC</t>
  </si>
  <si>
    <t xml:space="preserve">adc_read, LSB, Nyquist y aliasing</t>
  </si>
  <si>
    <t xml:space="preserve">Potenciómetro</t>
  </si>
  <si>
    <t xml:space="preserve">Señal limpia</t>
  </si>
  <si>
    <t xml:space="preserve">Media móvil e IIR (promedio exponencial)</t>
  </si>
  <si>
    <t xml:space="preserve">Sensor ruidoso</t>
  </si>
  <si>
    <t xml:space="preserve">Calibración de dos puntos</t>
  </si>
  <si>
    <t xml:space="preserve">Corregir offset y ganancia</t>
  </si>
  <si>
    <t xml:space="preserve">Sensor de la nave</t>
  </si>
  <si>
    <t xml:space="preserve">Quién está en el bus</t>
  </si>
  <si>
    <t xml:space="preserve">I2C</t>
  </si>
  <si>
    <t xml:space="preserve">i2c_init, escáner, REPEATED START, direcciones de 7 bits</t>
  </si>
  <si>
    <t xml:space="preserve">Sensor I2C</t>
  </si>
  <si>
    <t xml:space="preserve">Pantalla de planta</t>
  </si>
  <si>
    <t xml:space="preserve">Varios dispositivos, pull-ups, timeouts</t>
  </si>
  <si>
    <t xml:space="preserve">OLED + expansor GPIO</t>
  </si>
  <si>
    <t xml:space="preserve">TOTAL (los 3 bloques)</t>
  </si>
  <si>
    <t xml:space="preserve">Lo que se construye una sola vez: motor, arte, sonido, venta y simulación de cada periférico</t>
  </si>
  <si>
    <t xml:space="preserve">Horas por tipo de trabajo (azul). Estimaciones de Claude, no medidas. Cada periférico de los 3 bloques hay que simularlo dentro del juego antes de hacer niveles con él.</t>
  </si>
  <si>
    <t xml:space="preserve">Componente</t>
  </si>
  <si>
    <t xml:space="preserve">Tipo</t>
  </si>
  <si>
    <t xml:space="preserve">Parte del proyecto</t>
  </si>
  <si>
    <t xml:space="preserve">Diseño gráfico h</t>
  </si>
  <si>
    <t xml:space="preserve">Diseño de nivel y contenido h</t>
  </si>
  <si>
    <t xml:space="preserve">Pruebas y gestión h</t>
  </si>
  <si>
    <t xml:space="preserve">HORAS</t>
  </si>
  <si>
    <t xml:space="preserve">COSTO DIRECTO MXN</t>
  </si>
  <si>
    <t xml:space="preserve">Nota / riesgo</t>
  </si>
  <si>
    <t xml:space="preserve">Interfaz base en Godot (pantalla 60/40, editor, HUD, mini-trazas)</t>
  </si>
  <si>
    <t xml:space="preserve">Motor</t>
  </si>
  <si>
    <t xml:space="preserve">Motor del juego</t>
  </si>
  <si>
    <t xml:space="preserve">Cadena C++ → WASM (clang/wasi-sdk + WAMR + watchdog)</t>
  </si>
  <si>
    <t xml:space="preserve">El mayor riesgo técnico: nadie del equipo la ha hecho.</t>
  </si>
  <si>
    <t xml:space="preserve">Marco de niveles (JSON, validador, guardado)</t>
  </si>
  <si>
    <t xml:space="preserve">Menú, primer arranque, cuenta Supabase y exportar portafolio</t>
  </si>
  <si>
    <t xml:space="preserve">Migración del HAL de Arduino-ESP32 a Pico SDK (plantilla, etiquetas, documentos)</t>
  </si>
  <si>
    <t xml:space="preserve">Solo si adoptan la API del curso.</t>
  </si>
  <si>
    <t xml:space="preserve">Copiloto IA (Edge Function, prompt escalonado, cuota, pistas locales)</t>
  </si>
  <si>
    <t xml:space="preserve">Copiloto IA</t>
  </si>
  <si>
    <t xml:space="preserve">Arte base pixel (paleta, tiles, máquinas del nivel 1, retrato de la ingeniera)</t>
  </si>
  <si>
    <t xml:space="preserve">Arte</t>
  </si>
  <si>
    <t xml:space="preserve">Arte y animación base</t>
  </si>
  <si>
    <t xml:space="preserve">Tope de 30 h de la decisión de la semana 6.</t>
  </si>
  <si>
    <t xml:space="preserve">Animaciones y efectos de la fábrica (chispas, luces cálidas, LEDs)</t>
  </si>
  <si>
    <t xml:space="preserve">No estaba contado antes.</t>
  </si>
  <si>
    <t xml:space="preserve">Pulido de interfaz (iconos, estados de alerta, legibilidad en 1366×768)</t>
  </si>
  <si>
    <t xml:space="preserve">Sonido base (confirmaciones, alarmas, música; assets CC0)</t>
  </si>
  <si>
    <t xml:space="preserve">Página de venta, instalador y compilación</t>
  </si>
  <si>
    <t xml:space="preserve">Venta</t>
  </si>
  <si>
    <t xml:space="preserve">Venta y lanzamiento</t>
  </si>
  <si>
    <t xml:space="preserve">Arte de la página de venta (capturas, GIF, imagen principal)</t>
  </si>
  <si>
    <t xml:space="preserve">Piloto con 20 jugadores (preparar, dar soporte, analizar)</t>
  </si>
  <si>
    <t xml:space="preserve">Piloto</t>
  </si>
  <si>
    <t xml:space="preserve">GPIO / SIO y entradas con pull-ups</t>
  </si>
  <si>
    <t xml:space="preserve">Periférico</t>
  </si>
  <si>
    <t xml:space="preserve">Simulación de periféricos</t>
  </si>
  <si>
    <t xml:space="preserve">Los registros se simulan en memoria lineal de WASM.</t>
  </si>
  <si>
    <t xml:space="preserve">Reloj, timers y alarmas (tiempo virtual)</t>
  </si>
  <si>
    <t xml:space="preserve">Interrupciones de GPIO y NVIC con prioridades</t>
  </si>
  <si>
    <t xml:space="preserve">Simular latencia y apropiación exige tiempo virtual determinista.</t>
  </si>
  <si>
    <t xml:space="preserve">Analizador lógico / osciloscopio virtual</t>
  </si>
  <si>
    <t xml:space="preserve">El curso califica con mediciones de jitter y latencia.</t>
  </si>
  <si>
    <t xml:space="preserve">UART con FIFO y errores</t>
  </si>
  <si>
    <t xml:space="preserve">PWM (slices, TOP, divisor)</t>
  </si>
  <si>
    <t xml:space="preserve">ADC y señales analógicas (ruido, sensores)</t>
  </si>
  <si>
    <t xml:space="preserve">I2C con dispositivos virtuales</t>
  </si>
  <si>
    <t xml:space="preserve">TOTAL</t>
  </si>
  <si>
    <t xml:space="preserve">Desglose: cuánto sale cada parte del proyecto y cada tipo de trabajo</t>
  </si>
  <si>
    <t xml:space="preserve">MVP = 5 niveles · 3 bloques = 22 niveles. 'Con ind. y cont.' = costo directo × (1 + indirectos) × (1 + contingencia).</t>
  </si>
  <si>
    <t xml:space="preserve">1. Horas por tipo de trabajo</t>
  </si>
  <si>
    <t xml:space="preserve">Tipo de trabajo</t>
  </si>
  <si>
    <t xml:space="preserve">TOTAL DE HORAS</t>
  </si>
  <si>
    <t xml:space="preserve">Gráfico + sonido como % del total</t>
  </si>
  <si>
    <t xml:space="preserve">2. Costo por tipo de trabajo (MXN)</t>
  </si>
  <si>
    <t xml:space="preserve">MVP directo</t>
  </si>
  <si>
    <t xml:space="preserve">3 bloques directo</t>
  </si>
  <si>
    <t xml:space="preserve">MVP con ind. y cont.</t>
  </si>
  <si>
    <t xml:space="preserve">3 bloques con ind. y cont.</t>
  </si>
  <si>
    <t xml:space="preserve">Subtotal de mano de obra (horas × tarifa)</t>
  </si>
  <si>
    <t xml:space="preserve">Pruebas de IA durante el desarrollo (dinero real)</t>
  </si>
  <si>
    <t xml:space="preserve">TOTAL DE DESARROLLO</t>
  </si>
  <si>
    <t xml:space="preserve">3. Costo por parte del proyecto</t>
  </si>
  <si>
    <t xml:space="preserve">Horas MVP</t>
  </si>
  <si>
    <t xml:space="preserve">Horas 3 bloques</t>
  </si>
  <si>
    <t xml:space="preserve">MXN MVP (con ind. y cont.)</t>
  </si>
  <si>
    <t xml:space="preserve">MXN 3 bloques (con ind. y cont.)</t>
  </si>
  <si>
    <t xml:space="preserve">% del desarrollo (3 bloques)</t>
  </si>
  <si>
    <t xml:space="preserve">Motor del juego (interfaz, cadena WASM, marco de niveles, menú, migración)</t>
  </si>
  <si>
    <t xml:space="preserve">Programación del núcleo del juego.</t>
  </si>
  <si>
    <t xml:space="preserve">Copiloto IA (desarrollo)</t>
  </si>
  <si>
    <t xml:space="preserve">Edge Function, prompt escalonado, cuota.</t>
  </si>
  <si>
    <t xml:space="preserve">Simulación de los periféricos (GPIO, timers, interrupciones, UART, PWM, ADC, I2C)</t>
  </si>
  <si>
    <t xml:space="preserve">Lo que hace que el código del jugador mueva la fábrica.</t>
  </si>
  <si>
    <t xml:space="preserve">Paleta, tiles, retrato, efectos y pulido de interfaz.</t>
  </si>
  <si>
    <t xml:space="preserve">Arte de las máquinas nuevas de los niveles</t>
  </si>
  <si>
    <t xml:space="preserve">Sprites y animación por máquina nueva.</t>
  </si>
  <si>
    <t xml:space="preserve">Sonido (base + por nivel)</t>
  </si>
  <si>
    <t xml:space="preserve">Efectos, alarmas y música.</t>
  </si>
  <si>
    <t xml:space="preserve">Niveles del Bloque 1 · GPIO (programación, diseño y pruebas)</t>
  </si>
  <si>
    <t xml:space="preserve">Niveles 1–9.</t>
  </si>
  <si>
    <t xml:space="preserve">Niveles del Bloque 2 · Tiempo y serie</t>
  </si>
  <si>
    <t xml:space="preserve">Niveles 10–17.</t>
  </si>
  <si>
    <t xml:space="preserve">Niveles del Bloque 3 · Analógico y buses</t>
  </si>
  <si>
    <t xml:space="preserve">Niveles 18–22.</t>
  </si>
  <si>
    <t xml:space="preserve">Página de venta, instalador y arte de venta</t>
  </si>
  <si>
    <t xml:space="preserve">Piloto con 20 jugadores</t>
  </si>
  <si>
    <t xml:space="preserve">TOTAL (debe coincidir con la sección 2)</t>
  </si>
  <si>
    <t xml:space="preserve">Diferencia contra la sección 2 (debe ser 0)</t>
  </si>
  <si>
    <t xml:space="preserve">4. Costos fuera del desarrollo y total del proyecto (MXN)</t>
  </si>
  <si>
    <t xml:space="preserve">MXN</t>
  </si>
  <si>
    <t xml:space="preserve">Supabase Pro (12 meses)</t>
  </si>
  <si>
    <t xml:space="preserve">Verificado (precio 'desde')</t>
  </si>
  <si>
    <t xml:space="preserve">Lanzamiento, 12 meses</t>
  </si>
  <si>
    <t xml:space="preserve">Total del proyecto (MXN)</t>
  </si>
  <si>
    <t xml:space="preserve">Desarrollo con horas (sección 2)</t>
  </si>
  <si>
    <t xml:space="preserve">Lanzamiento</t>
  </si>
  <si>
    <t xml:space="preserve">TOTAL DEL PROYECTO, contando horas</t>
  </si>
  <si>
    <t xml:space="preserve">Dinero real que sale (pruebas de IA + lanzamiento)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</si>
</sst>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#,##0;\(#,##0\);\-"/>
    <numFmt numFmtId="167" formatCode="#,##0.0;\(#,##0.0\);\-"/>
    <numFmt numFmtId="168" formatCode="\$#,##0;&quot;($&quot;#,##0\);\-"/>
    <numFmt numFmtId="169" formatCode="\$#,##0.00;&quot;($&quot;#,##0.00\);\-"/>
    <numFmt numFmtId="170" formatCode="0.0%;\(0.0%\);\-"/>
    <numFmt numFmtId="171" formatCode="#,##0"/>
    <numFmt numFmtId="172" formatCode="0.00"/>
    <numFmt numFmtId="173" formatCode="\$0.00"/>
    <numFmt numFmtId="174" formatCode="0%"/>
    <numFmt numFmtId="175" formatCode="\$#,##0"/>
    <numFmt numFmtId="176" formatCode="\$#,##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9E2F3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3" min="2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5</v>
      </c>
      <c r="B5" s="6" t="n">
        <f aca="false">COUNTIFS(Niveles!$H$5:$H$26,"&lt;=1")</f>
        <v>5</v>
      </c>
      <c r="C5" s="6" t="n">
        <f aca="false">COUNTIFS(Niveles!$H$5:$H$26,"&lt;=2")</f>
        <v>22</v>
      </c>
    </row>
    <row r="6" customFormat="false" ht="15" hidden="false" customHeight="false" outlineLevel="0" collapsed="false">
      <c r="A6" s="5" t="s">
        <v>6</v>
      </c>
      <c r="B6" s="7" t="n">
        <f aca="false">Desglose!B11</f>
        <v>423</v>
      </c>
      <c r="C6" s="7" t="n">
        <f aca="false">Desglose!C11</f>
        <v>972</v>
      </c>
    </row>
    <row r="7" customFormat="false" ht="15" hidden="false" customHeight="false" outlineLevel="0" collapsed="false">
      <c r="A7" s="5" t="s">
        <v>7</v>
      </c>
      <c r="B7" s="7" t="n">
        <f aca="false">Desglose!B6</f>
        <v>214.6</v>
      </c>
      <c r="C7" s="7" t="n">
        <f aca="false">Desglose!C6</f>
        <v>481.4</v>
      </c>
    </row>
    <row r="8" customFormat="false" ht="15" hidden="false" customHeight="false" outlineLevel="0" collapsed="false">
      <c r="A8" s="5" t="s">
        <v>8</v>
      </c>
      <c r="B8" s="7" t="n">
        <f aca="false">Desglose!B7</f>
        <v>98</v>
      </c>
      <c r="C8" s="7" t="n">
        <f aca="false">Desglose!C7</f>
        <v>164</v>
      </c>
    </row>
    <row r="9" customFormat="false" ht="15" hidden="false" customHeight="false" outlineLevel="0" collapsed="false">
      <c r="A9" s="5" t="s">
        <v>9</v>
      </c>
      <c r="B9" s="7" t="n">
        <f aca="false">Desglose!B8</f>
        <v>18</v>
      </c>
      <c r="C9" s="7" t="n">
        <f aca="false">Desglose!C8</f>
        <v>35</v>
      </c>
    </row>
    <row r="10" customFormat="false" ht="15" hidden="false" customHeight="false" outlineLevel="0" collapsed="false">
      <c r="A10" s="5" t="s">
        <v>10</v>
      </c>
      <c r="B10" s="7" t="n">
        <f aca="false">Desglose!B9</f>
        <v>48.4</v>
      </c>
      <c r="C10" s="7" t="n">
        <f aca="false">Desglose!C9</f>
        <v>151.6</v>
      </c>
    </row>
    <row r="11" customFormat="false" ht="15" hidden="false" customHeight="false" outlineLevel="0" collapsed="false">
      <c r="A11" s="5" t="s">
        <v>11</v>
      </c>
      <c r="B11" s="7" t="n">
        <f aca="false">Desglose!B10</f>
        <v>44</v>
      </c>
      <c r="C11" s="7" t="n">
        <f aca="false">Desglose!C10</f>
        <v>140</v>
      </c>
    </row>
    <row r="12" customFormat="false" ht="15" hidden="false" customHeight="false" outlineLevel="0" collapsed="false">
      <c r="A12" s="8" t="s">
        <v>12</v>
      </c>
      <c r="B12" s="9" t="n">
        <f aca="false">B6/(Supuestos!$B$9*Supuestos!$B$10)</f>
        <v>17.625</v>
      </c>
      <c r="C12" s="9" t="n">
        <f aca="false">C6/(Supuestos!$B$9*Supuestos!$B$10)</f>
        <v>40.5</v>
      </c>
    </row>
    <row r="13" customFormat="false" ht="15" hidden="false" customHeight="false" outlineLevel="0" collapsed="false">
      <c r="A13" s="5" t="s">
        <v>13</v>
      </c>
      <c r="B13" s="10" t="n">
        <f aca="false">B12-Supuestos!$B$11</f>
        <v>11.625</v>
      </c>
      <c r="C13" s="10" t="n">
        <f aca="false">C12-Supuestos!$B$11</f>
        <v>34.5</v>
      </c>
    </row>
    <row r="15" customFormat="false" ht="15" hidden="false" customHeight="false" outlineLevel="0" collapsed="false">
      <c r="A15" s="11" t="s">
        <v>14</v>
      </c>
      <c r="B15" s="12"/>
      <c r="C15" s="12"/>
    </row>
    <row r="16" customFormat="false" ht="15" hidden="false" customHeight="false" outlineLevel="0" collapsed="false">
      <c r="A16" s="5" t="s">
        <v>15</v>
      </c>
      <c r="B16" s="13" t="n">
        <f aca="false">Desglose!D23</f>
        <v>50596.55575</v>
      </c>
      <c r="C16" s="13" t="n">
        <f aca="false">Desglose!E23</f>
        <v>116281.1560625</v>
      </c>
    </row>
    <row r="17" customFormat="false" ht="15" hidden="false" customHeight="false" outlineLevel="0" collapsed="false">
      <c r="A17" s="5" t="s">
        <v>16</v>
      </c>
      <c r="B17" s="13" t="n">
        <f aca="false">Desglose!C48</f>
        <v>8942.5</v>
      </c>
      <c r="C17" s="13" t="n">
        <f aca="false">Desglose!C48</f>
        <v>8942.5</v>
      </c>
    </row>
    <row r="18" customFormat="false" ht="15" hidden="false" customHeight="false" outlineLevel="0" collapsed="false">
      <c r="A18" s="8" t="s">
        <v>17</v>
      </c>
      <c r="B18" s="14" t="n">
        <f aca="false">B16+B17</f>
        <v>59539.05575</v>
      </c>
      <c r="C18" s="14" t="n">
        <f aca="false">C16+C17</f>
        <v>125223.6560625</v>
      </c>
    </row>
    <row r="19" customFormat="false" ht="15" hidden="false" customHeight="false" outlineLevel="0" collapsed="false">
      <c r="A19" s="5" t="s">
        <v>18</v>
      </c>
      <c r="B19" s="13" t="n">
        <f aca="false">Desglose!B54</f>
        <v>8948.25575</v>
      </c>
      <c r="C19" s="13" t="n">
        <f aca="false">Desglose!C54</f>
        <v>8972.4560625</v>
      </c>
    </row>
    <row r="21" customFormat="false" ht="15" hidden="false" customHeight="false" outlineLevel="0" collapsed="false">
      <c r="A21" s="11" t="s">
        <v>19</v>
      </c>
      <c r="B21" s="12"/>
      <c r="C21" s="12"/>
    </row>
    <row r="22" customFormat="false" ht="15" hidden="false" customHeight="false" outlineLevel="0" collapsed="false">
      <c r="A22" s="5" t="s">
        <v>20</v>
      </c>
      <c r="B22" s="15" t="n">
        <f aca="false">SUMIFS(Niveles!$W$5:$W$26,Niveles!$H$5:$H$26,"&lt;=1")</f>
        <v>0.8575</v>
      </c>
      <c r="C22" s="15" t="n">
        <f aca="false">SUMIFS(Niveles!$W$5:$W$26,Niveles!$H$5:$H$26,"&lt;=2")</f>
        <v>6.2825</v>
      </c>
    </row>
    <row r="23" customFormat="false" ht="15" hidden="false" customHeight="false" outlineLevel="0" collapsed="false">
      <c r="A23" s="5" t="s">
        <v>21</v>
      </c>
      <c r="B23" s="15" t="n">
        <f aca="false">SUMIFS(Niveles!$X$5:$X$26,Niveles!$H$5:$H$26,"&lt;=1")</f>
        <v>8.575</v>
      </c>
      <c r="C23" s="15" t="n">
        <f aca="false">SUMIFS(Niveles!$X$5:$X$26,Niveles!$H$5:$H$26,"&lt;=2")</f>
        <v>62.825</v>
      </c>
    </row>
    <row r="24" customFormat="false" ht="15" hidden="false" customHeight="false" outlineLevel="0" collapsed="false">
      <c r="A24" s="5" t="s">
        <v>22</v>
      </c>
      <c r="B24" s="15" t="n">
        <f aca="false">Supuestos!$B$3*(1-Supuestos!$B$4)</f>
        <v>174.3</v>
      </c>
      <c r="C24" s="15" t="n">
        <f aca="false">Supuestos!$B$3*(1-Supuestos!$B$4)</f>
        <v>174.3</v>
      </c>
    </row>
    <row r="25" customFormat="false" ht="15" hidden="false" customHeight="false" outlineLevel="0" collapsed="false">
      <c r="A25" s="5" t="s">
        <v>23</v>
      </c>
      <c r="B25" s="16" t="n">
        <f aca="false">B22/B24</f>
        <v>0.00491967871485944</v>
      </c>
      <c r="C25" s="16" t="n">
        <f aca="false">C22/C24</f>
        <v>0.0360441767068273</v>
      </c>
    </row>
    <row r="26" customFormat="false" ht="15" hidden="false" customHeight="false" outlineLevel="0" collapsed="false">
      <c r="A26" s="5" t="s">
        <v>24</v>
      </c>
      <c r="B26" s="16" t="n">
        <f aca="false">B23/B24</f>
        <v>0.0491967871485944</v>
      </c>
      <c r="C26" s="16" t="n">
        <f aca="false">C23/C24</f>
        <v>0.360441767068273</v>
      </c>
    </row>
    <row r="27" customFormat="false" ht="15" hidden="false" customHeight="false" outlineLevel="0" collapsed="false">
      <c r="A27" s="8" t="s">
        <v>25</v>
      </c>
      <c r="B27" s="17" t="n">
        <f aca="false">B24-B22</f>
        <v>173.4425</v>
      </c>
      <c r="C27" s="17" t="n">
        <f aca="false">C24-C22</f>
        <v>168.0175</v>
      </c>
    </row>
    <row r="29" customFormat="false" ht="15" hidden="false" customHeight="false" outlineLevel="0" collapsed="false">
      <c r="A29" s="11" t="s">
        <v>26</v>
      </c>
      <c r="B29" s="12"/>
      <c r="C29" s="12"/>
    </row>
    <row r="30" customFormat="false" ht="15" hidden="false" customHeight="false" outlineLevel="0" collapsed="false">
      <c r="A30" s="8" t="s">
        <v>27</v>
      </c>
      <c r="B30" s="18" t="n">
        <f aca="false">B18/B27</f>
        <v>343.278353056488</v>
      </c>
      <c r="C30" s="18" t="n">
        <f aca="false">C18/C27</f>
        <v>745.301269585014</v>
      </c>
    </row>
    <row r="31" customFormat="false" ht="15" hidden="false" customHeight="false" outlineLevel="0" collapsed="false">
      <c r="A31" s="5" t="s">
        <v>28</v>
      </c>
      <c r="B31" s="19" t="n">
        <f aca="false">B19/B27</f>
        <v>51.5920593280194</v>
      </c>
      <c r="C31" s="19" t="n">
        <f aca="false">C19/C27</f>
        <v>53.4019138631393</v>
      </c>
    </row>
    <row r="32" customFormat="false" ht="15" hidden="false" customHeight="false" outlineLevel="0" collapsed="false">
      <c r="A32" s="8" t="s">
        <v>29</v>
      </c>
      <c r="B32" s="14" t="n">
        <f aca="false">(B18/Supuestos!$B$15+B22)/(1-Supuestos!$B$4)</f>
        <v>851.782939285714</v>
      </c>
      <c r="C32" s="14" t="n">
        <f aca="false">(C18/Supuestos!$B$15+C22)/(1-Supuestos!$B$4)</f>
        <v>1797.88437232143</v>
      </c>
    </row>
    <row r="33" customFormat="false" ht="15" hidden="false" customHeight="false" outlineLevel="0" collapsed="false">
      <c r="A33" s="5" t="s">
        <v>30</v>
      </c>
      <c r="B33" s="20" t="n">
        <f aca="false">(B18/Supuestos!$B$16+B22)/(1-Supuestos!$B$4)</f>
        <v>171.336587857143</v>
      </c>
      <c r="C33" s="20" t="n">
        <f aca="false">(C18/Supuestos!$B$16+C22)/(1-Supuestos!$B$4)</f>
        <v>366.756874464286</v>
      </c>
    </row>
    <row r="35" customFormat="false" ht="15" hidden="false" customHeight="false" outlineLevel="0" collapsed="false">
      <c r="A35" s="21" t="s">
        <v>31</v>
      </c>
    </row>
    <row r="36" customFormat="false" ht="51.75" hidden="false" customHeight="true" outlineLevel="0" collapsed="false">
      <c r="A36" s="22" t="s">
        <v>32</v>
      </c>
      <c r="B36" s="22"/>
      <c r="C36" s="22"/>
    </row>
    <row r="37" customFormat="false" ht="51.75" hidden="false" customHeight="true" outlineLevel="0" collapsed="false">
      <c r="A37" s="22" t="s">
        <v>33</v>
      </c>
      <c r="B37" s="22"/>
      <c r="C37" s="22"/>
    </row>
    <row r="38" customFormat="false" ht="51.75" hidden="false" customHeight="true" outlineLevel="0" collapsed="false">
      <c r="A38" s="22" t="s">
        <v>34</v>
      </c>
      <c r="B38" s="22"/>
      <c r="C38" s="22"/>
    </row>
    <row r="39" customFormat="false" ht="51.75" hidden="false" customHeight="true" outlineLevel="0" collapsed="false">
      <c r="A39" s="22" t="s">
        <v>35</v>
      </c>
      <c r="B39" s="22"/>
      <c r="C39" s="22"/>
    </row>
    <row r="40" customFormat="false" ht="51.75" hidden="false" customHeight="true" outlineLevel="0" collapsed="false">
      <c r="A40" s="22" t="s">
        <v>36</v>
      </c>
      <c r="B40" s="22"/>
      <c r="C40" s="22"/>
    </row>
  </sheetData>
  <mergeCells count="5">
    <mergeCell ref="A36:C36"/>
    <mergeCell ref="A37:C37"/>
    <mergeCell ref="A38:C38"/>
    <mergeCell ref="A39:C39"/>
    <mergeCell ref="A40:C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16"/>
    <col collapsed="false" customWidth="true" hidden="false" outlineLevel="0" max="6" min="4" style="0" width="14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56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3" t="s">
        <v>38</v>
      </c>
      <c r="B2" s="24" t="n">
        <v>17.5</v>
      </c>
      <c r="D2" s="2" t="s">
        <v>39</v>
      </c>
    </row>
    <row r="3" customFormat="false" ht="15" hidden="false" customHeight="false" outlineLevel="0" collapsed="false">
      <c r="A3" s="23" t="s">
        <v>40</v>
      </c>
      <c r="B3" s="25" t="n">
        <v>249</v>
      </c>
      <c r="D3" s="2" t="s">
        <v>41</v>
      </c>
    </row>
    <row r="4" customFormat="false" ht="15" hidden="false" customHeight="false" outlineLevel="0" collapsed="false">
      <c r="A4" s="23" t="s">
        <v>42</v>
      </c>
      <c r="B4" s="26" t="n">
        <v>0.3</v>
      </c>
      <c r="D4" s="2" t="s">
        <v>43</v>
      </c>
    </row>
    <row r="5" customFormat="false" ht="15" hidden="false" customHeight="false" outlineLevel="0" collapsed="false">
      <c r="A5" s="23" t="s">
        <v>44</v>
      </c>
      <c r="B5" s="27" t="n">
        <v>6</v>
      </c>
      <c r="D5" s="2" t="s">
        <v>45</v>
      </c>
    </row>
    <row r="6" customFormat="false" ht="15" hidden="false" customHeight="false" outlineLevel="0" collapsed="false">
      <c r="A6" s="23" t="s">
        <v>46</v>
      </c>
      <c r="B6" s="26" t="n">
        <v>0.15</v>
      </c>
      <c r="D6" s="2" t="s">
        <v>47</v>
      </c>
    </row>
    <row r="7" customFormat="false" ht="15" hidden="false" customHeight="false" outlineLevel="0" collapsed="false">
      <c r="A7" s="23" t="s">
        <v>48</v>
      </c>
      <c r="B7" s="26" t="n">
        <v>0.3</v>
      </c>
      <c r="D7" s="2" t="s">
        <v>49</v>
      </c>
    </row>
    <row r="8" customFormat="false" ht="15" hidden="false" customHeight="false" outlineLevel="0" collapsed="false">
      <c r="A8" s="23" t="s">
        <v>50</v>
      </c>
      <c r="B8" s="26" t="n">
        <v>0.5</v>
      </c>
      <c r="D8" s="2" t="s">
        <v>51</v>
      </c>
    </row>
    <row r="9" customFormat="false" ht="15" hidden="false" customHeight="false" outlineLevel="0" collapsed="false">
      <c r="A9" s="23" t="s">
        <v>52</v>
      </c>
      <c r="B9" s="28" t="n">
        <v>2</v>
      </c>
      <c r="D9" s="2" t="s">
        <v>53</v>
      </c>
    </row>
    <row r="10" customFormat="false" ht="15" hidden="false" customHeight="false" outlineLevel="0" collapsed="false">
      <c r="A10" s="23" t="s">
        <v>54</v>
      </c>
      <c r="B10" s="27" t="n">
        <v>12</v>
      </c>
      <c r="D10" s="2" t="s">
        <v>55</v>
      </c>
    </row>
    <row r="11" customFormat="false" ht="15" hidden="false" customHeight="false" outlineLevel="0" collapsed="false">
      <c r="A11" s="23" t="s">
        <v>56</v>
      </c>
      <c r="B11" s="27" t="n">
        <v>6</v>
      </c>
      <c r="D11" s="2" t="s">
        <v>57</v>
      </c>
    </row>
    <row r="12" customFormat="false" ht="15" hidden="false" customHeight="false" outlineLevel="0" collapsed="false">
      <c r="A12" s="23" t="s">
        <v>58</v>
      </c>
      <c r="B12" s="29" t="s">
        <v>59</v>
      </c>
      <c r="D12" s="2" t="s">
        <v>60</v>
      </c>
    </row>
    <row r="13" customFormat="false" ht="15" hidden="false" customHeight="false" outlineLevel="0" collapsed="false">
      <c r="A13" s="23" t="s">
        <v>61</v>
      </c>
      <c r="B13" s="30" t="n">
        <f aca="false">INDEX(B22:B24,MATCH(B12,A22:A24,0))</f>
        <v>0.1</v>
      </c>
      <c r="D13" s="2"/>
    </row>
    <row r="14" customFormat="false" ht="15" hidden="false" customHeight="false" outlineLevel="0" collapsed="false">
      <c r="A14" s="23" t="s">
        <v>62</v>
      </c>
      <c r="B14" s="30" t="n">
        <f aca="false">INDEX(C22:C24,MATCH(B12,A22:A24,0))</f>
        <v>0.5</v>
      </c>
      <c r="D14" s="2"/>
    </row>
    <row r="15" customFormat="false" ht="15" hidden="false" customHeight="false" outlineLevel="0" collapsed="false">
      <c r="A15" s="23" t="s">
        <v>63</v>
      </c>
      <c r="B15" s="31" t="n">
        <v>100</v>
      </c>
      <c r="D15" s="2"/>
    </row>
    <row r="16" customFormat="false" ht="15" hidden="false" customHeight="false" outlineLevel="0" collapsed="false">
      <c r="A16" s="23" t="s">
        <v>64</v>
      </c>
      <c r="B16" s="31" t="n">
        <v>500</v>
      </c>
      <c r="D16" s="2"/>
    </row>
    <row r="17" customFormat="false" ht="15" hidden="false" customHeight="false" outlineLevel="0" collapsed="false">
      <c r="A17" s="23" t="s">
        <v>65</v>
      </c>
      <c r="B17" s="27" t="n">
        <v>100</v>
      </c>
      <c r="D17" s="2" t="s">
        <v>66</v>
      </c>
    </row>
    <row r="18" customFormat="false" ht="15" hidden="false" customHeight="false" outlineLevel="0" collapsed="false">
      <c r="A18" s="23" t="s">
        <v>67</v>
      </c>
      <c r="B18" s="27" t="n">
        <v>1</v>
      </c>
      <c r="D18" s="2" t="s">
        <v>68</v>
      </c>
    </row>
    <row r="20" customFormat="false" ht="15" hidden="false" customHeight="false" outlineLevel="0" collapsed="false">
      <c r="A20" s="21" t="s">
        <v>69</v>
      </c>
    </row>
    <row r="21" customFormat="false" ht="15" hidden="false" customHeight="false" outlineLevel="0" collapsed="false">
      <c r="A21" s="32" t="s">
        <v>70</v>
      </c>
      <c r="B21" s="32" t="s">
        <v>71</v>
      </c>
      <c r="C21" s="32" t="s">
        <v>72</v>
      </c>
    </row>
    <row r="22" customFormat="false" ht="15" hidden="false" customHeight="false" outlineLevel="0" collapsed="false">
      <c r="A22" s="23" t="s">
        <v>73</v>
      </c>
      <c r="B22" s="33" t="n">
        <v>1</v>
      </c>
      <c r="C22" s="33" t="n">
        <v>5</v>
      </c>
    </row>
    <row r="23" customFormat="false" ht="15" hidden="false" customHeight="false" outlineLevel="0" collapsed="false">
      <c r="A23" s="23" t="s">
        <v>59</v>
      </c>
      <c r="B23" s="33" t="n">
        <v>0.1</v>
      </c>
      <c r="C23" s="33" t="n">
        <v>0.5</v>
      </c>
    </row>
    <row r="24" customFormat="false" ht="15" hidden="false" customHeight="false" outlineLevel="0" collapsed="false">
      <c r="A24" s="23" t="s">
        <v>74</v>
      </c>
      <c r="B24" s="33" t="n">
        <v>2</v>
      </c>
      <c r="C24" s="33" t="n">
        <v>10</v>
      </c>
    </row>
    <row r="26" customFormat="false" ht="15" hidden="false" customHeight="false" outlineLevel="0" collapsed="false">
      <c r="A26" s="21" t="s">
        <v>75</v>
      </c>
    </row>
    <row r="27" customFormat="false" ht="43.5" hidden="false" customHeight="true" outlineLevel="0" collapsed="false">
      <c r="A27" s="32" t="s">
        <v>76</v>
      </c>
      <c r="B27" s="32" t="s">
        <v>77</v>
      </c>
      <c r="C27" s="32" t="s">
        <v>78</v>
      </c>
      <c r="D27" s="32" t="s">
        <v>79</v>
      </c>
      <c r="E27" s="32" t="s">
        <v>80</v>
      </c>
      <c r="F27" s="32" t="s">
        <v>81</v>
      </c>
      <c r="G27" s="32" t="s">
        <v>82</v>
      </c>
      <c r="H27" s="32" t="s">
        <v>83</v>
      </c>
      <c r="I27" s="32" t="s">
        <v>84</v>
      </c>
      <c r="J27" s="32" t="s">
        <v>85</v>
      </c>
    </row>
    <row r="28" customFormat="false" ht="15" hidden="false" customHeight="false" outlineLevel="0" collapsed="false">
      <c r="A28" s="21" t="s">
        <v>86</v>
      </c>
      <c r="B28" s="27" t="n">
        <v>8</v>
      </c>
      <c r="C28" s="34" t="n">
        <v>2500</v>
      </c>
      <c r="D28" s="34" t="n">
        <v>350</v>
      </c>
      <c r="E28" s="27" t="n">
        <v>40</v>
      </c>
      <c r="F28" s="35" t="n">
        <v>0.35</v>
      </c>
      <c r="G28" s="35" t="n">
        <v>0.4</v>
      </c>
      <c r="H28" s="35" t="n">
        <v>0.25</v>
      </c>
      <c r="I28" s="36" t="n">
        <f aca="false">F28+G28+H28</f>
        <v>1</v>
      </c>
      <c r="J28" s="2" t="s">
        <v>87</v>
      </c>
    </row>
    <row r="29" customFormat="false" ht="15" hidden="false" customHeight="false" outlineLevel="0" collapsed="false">
      <c r="A29" s="21" t="s">
        <v>88</v>
      </c>
      <c r="B29" s="27" t="n">
        <v>16</v>
      </c>
      <c r="C29" s="34" t="n">
        <v>3000</v>
      </c>
      <c r="D29" s="34" t="n">
        <v>400</v>
      </c>
      <c r="E29" s="27" t="n">
        <v>60</v>
      </c>
      <c r="F29" s="35" t="n">
        <v>0.4</v>
      </c>
      <c r="G29" s="35" t="n">
        <v>0.35</v>
      </c>
      <c r="H29" s="35" t="n">
        <v>0.25</v>
      </c>
      <c r="I29" s="36" t="n">
        <f aca="false">F29+G29+H29</f>
        <v>1</v>
      </c>
      <c r="J29" s="2" t="s">
        <v>89</v>
      </c>
    </row>
    <row r="30" customFormat="false" ht="15" hidden="false" customHeight="false" outlineLevel="0" collapsed="false">
      <c r="A30" s="21" t="s">
        <v>90</v>
      </c>
      <c r="B30" s="27" t="n">
        <v>24</v>
      </c>
      <c r="C30" s="34" t="n">
        <v>4000</v>
      </c>
      <c r="D30" s="34" t="n">
        <v>500</v>
      </c>
      <c r="E30" s="27" t="n">
        <v>80</v>
      </c>
      <c r="F30" s="35" t="n">
        <v>0.45</v>
      </c>
      <c r="G30" s="35" t="n">
        <v>0.3</v>
      </c>
      <c r="H30" s="35" t="n">
        <v>0.25</v>
      </c>
      <c r="I30" s="36" t="n">
        <f aca="false">F30+G30+H30</f>
        <v>1</v>
      </c>
      <c r="J30" s="2" t="s">
        <v>91</v>
      </c>
    </row>
    <row r="31" customFormat="false" ht="15" hidden="false" customHeight="false" outlineLevel="0" collapsed="false">
      <c r="A31" s="21" t="s">
        <v>92</v>
      </c>
      <c r="B31" s="27" t="n">
        <v>40</v>
      </c>
      <c r="C31" s="34" t="n">
        <v>6000</v>
      </c>
      <c r="D31" s="34" t="n">
        <v>600</v>
      </c>
      <c r="E31" s="27" t="n">
        <v>100</v>
      </c>
      <c r="F31" s="35" t="n">
        <v>0.5</v>
      </c>
      <c r="G31" s="35" t="n">
        <v>0.25</v>
      </c>
      <c r="H31" s="35" t="n">
        <v>0.25</v>
      </c>
      <c r="I31" s="36" t="n">
        <f aca="false">F31+G31+H31</f>
        <v>1</v>
      </c>
      <c r="J31" s="2" t="s">
        <v>93</v>
      </c>
    </row>
    <row r="32" customFormat="false" ht="15" hidden="false" customHeight="false" outlineLevel="0" collapsed="false">
      <c r="A32" s="2" t="s">
        <v>94</v>
      </c>
    </row>
    <row r="34" customFormat="false" ht="15" hidden="false" customHeight="false" outlineLevel="0" collapsed="false">
      <c r="A34" s="21" t="s">
        <v>95</v>
      </c>
    </row>
    <row r="35" customFormat="false" ht="15" hidden="false" customHeight="false" outlineLevel="0" collapsed="false">
      <c r="A35" s="32" t="s">
        <v>96</v>
      </c>
      <c r="B35" s="32" t="s">
        <v>97</v>
      </c>
      <c r="C35" s="32" t="s">
        <v>98</v>
      </c>
    </row>
    <row r="36" customFormat="false" ht="15" hidden="false" customHeight="false" outlineLevel="0" collapsed="false">
      <c r="A36" s="23" t="s">
        <v>99</v>
      </c>
      <c r="B36" s="37" t="n">
        <v>80</v>
      </c>
      <c r="C36" s="2" t="s">
        <v>100</v>
      </c>
    </row>
    <row r="37" customFormat="false" ht="15" hidden="false" customHeight="false" outlineLevel="0" collapsed="false">
      <c r="A37" s="23" t="s">
        <v>101</v>
      </c>
      <c r="B37" s="37" t="n">
        <v>80</v>
      </c>
      <c r="C37" s="2" t="s">
        <v>100</v>
      </c>
    </row>
    <row r="38" customFormat="false" ht="15" hidden="false" customHeight="false" outlineLevel="0" collapsed="false">
      <c r="A38" s="23" t="s">
        <v>102</v>
      </c>
      <c r="B38" s="37" t="n">
        <v>80</v>
      </c>
      <c r="C38" s="2" t="s">
        <v>100</v>
      </c>
    </row>
    <row r="39" customFormat="false" ht="15" hidden="false" customHeight="false" outlineLevel="0" collapsed="false">
      <c r="A39" s="23" t="s">
        <v>103</v>
      </c>
      <c r="B39" s="37" t="n">
        <v>80</v>
      </c>
      <c r="C39" s="2" t="s">
        <v>100</v>
      </c>
    </row>
    <row r="40" customFormat="false" ht="15" hidden="false" customHeight="false" outlineLevel="0" collapsed="false">
      <c r="A40" s="23" t="s">
        <v>104</v>
      </c>
      <c r="B40" s="37" t="n">
        <v>80</v>
      </c>
      <c r="C40" s="2" t="s">
        <v>100</v>
      </c>
    </row>
    <row r="42" customFormat="false" ht="15" hidden="false" customHeight="false" outlineLevel="0" collapsed="false">
      <c r="A42" s="21" t="s">
        <v>105</v>
      </c>
    </row>
    <row r="43" customFormat="false" ht="15" hidden="false" customHeight="false" outlineLevel="0" collapsed="false">
      <c r="A43" s="32" t="s">
        <v>2</v>
      </c>
      <c r="B43" s="32" t="s">
        <v>106</v>
      </c>
      <c r="C43" s="32" t="s">
        <v>107</v>
      </c>
    </row>
    <row r="44" customFormat="false" ht="15" hidden="false" customHeight="false" outlineLevel="0" collapsed="false">
      <c r="A44" s="23" t="s">
        <v>108</v>
      </c>
      <c r="B44" s="38" t="n">
        <v>100</v>
      </c>
      <c r="C44" s="2" t="s">
        <v>109</v>
      </c>
    </row>
    <row r="45" customFormat="false" ht="15" hidden="false" customHeight="false" outlineLevel="0" collapsed="false">
      <c r="A45" s="23" t="s">
        <v>110</v>
      </c>
      <c r="B45" s="38" t="n">
        <v>12</v>
      </c>
      <c r="C45" s="2" t="s">
        <v>111</v>
      </c>
    </row>
    <row r="46" customFormat="false" ht="15" hidden="false" customHeight="false" outlineLevel="0" collapsed="false">
      <c r="A46" s="23" t="s">
        <v>112</v>
      </c>
      <c r="B46" s="38" t="n">
        <v>99</v>
      </c>
      <c r="C46" s="2" t="s">
        <v>111</v>
      </c>
    </row>
    <row r="47" customFormat="false" ht="15" hidden="false" customHeight="false" outlineLevel="0" collapsed="false">
      <c r="A47" s="23" t="s">
        <v>113</v>
      </c>
      <c r="B47" s="38" t="n">
        <v>300</v>
      </c>
      <c r="C47" s="2" t="s">
        <v>114</v>
      </c>
    </row>
    <row r="48" customFormat="false" ht="15" hidden="false" customHeight="false" outlineLevel="0" collapsed="false">
      <c r="A48" s="21" t="s">
        <v>115</v>
      </c>
      <c r="B48" s="39" t="n">
        <f aca="false">SUM(B44:B47)</f>
        <v>511</v>
      </c>
    </row>
    <row r="49" customFormat="false" ht="15" hidden="false" customHeight="false" outlineLevel="0" collapsed="false">
      <c r="A49" s="21" t="s">
        <v>116</v>
      </c>
      <c r="B49" s="14" t="n">
        <f aca="false">B48*B2</f>
        <v>8942.5</v>
      </c>
    </row>
  </sheetData>
  <dataValidations count="1">
    <dataValidation allowBlank="false" errorStyle="stop" operator="between" showDropDown="false" showErrorMessage="false" showInputMessage="false" sqref="B12" type="list">
      <formula1>"Claude Haiku 4.5,Claude Haiku 5.5,Claude Sonnet 5.5"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4" min="3" style="0" width="28"/>
    <col collapsed="false" customWidth="true" hidden="false" outlineLevel="0" max="5" min="5" style="0" width="44"/>
    <col collapsed="false" customWidth="true" hidden="false" outlineLevel="0" max="6" min="6" style="0" width="28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1" min="10" style="0" width="8"/>
    <col collapsed="false" customWidth="true" hidden="false" outlineLevel="0" max="12" min="12" style="0" width="10"/>
    <col collapsed="false" customWidth="true" hidden="false" outlineLevel="0" max="15" min="13" style="0" width="8"/>
    <col collapsed="false" customWidth="true" hidden="false" outlineLevel="0" max="16" min="16" style="0" width="11"/>
    <col collapsed="false" customWidth="true" hidden="false" outlineLevel="0" max="20" min="17" style="0" width="12"/>
    <col collapsed="false" customWidth="true" hidden="false" outlineLevel="0" max="21" min="21" style="0" width="10"/>
    <col collapsed="false" customWidth="true" hidden="false" outlineLevel="0" max="22" min="22" style="0" width="12"/>
    <col collapsed="false" customWidth="true" hidden="false" outlineLevel="0" max="25" min="23" style="0" width="14"/>
  </cols>
  <sheetData>
    <row r="1" customFormat="false" ht="17.3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4" customFormat="false" ht="57.75" hidden="false" customHeight="true" outlineLevel="0" collapsed="false">
      <c r="A4" s="32" t="s">
        <v>119</v>
      </c>
      <c r="B4" s="32" t="s">
        <v>120</v>
      </c>
      <c r="C4" s="32" t="s">
        <v>121</v>
      </c>
      <c r="D4" s="32" t="s">
        <v>122</v>
      </c>
      <c r="E4" s="32" t="s">
        <v>123</v>
      </c>
      <c r="F4" s="32" t="s">
        <v>124</v>
      </c>
      <c r="G4" s="32" t="s">
        <v>76</v>
      </c>
      <c r="H4" s="32" t="s">
        <v>125</v>
      </c>
      <c r="I4" s="32" t="s">
        <v>126</v>
      </c>
      <c r="J4" s="32" t="s">
        <v>77</v>
      </c>
      <c r="K4" s="32" t="s">
        <v>127</v>
      </c>
      <c r="L4" s="32" t="s">
        <v>128</v>
      </c>
      <c r="M4" s="32" t="s">
        <v>129</v>
      </c>
      <c r="N4" s="32" t="s">
        <v>130</v>
      </c>
      <c r="O4" s="32" t="s">
        <v>131</v>
      </c>
      <c r="P4" s="32" t="s">
        <v>132</v>
      </c>
      <c r="Q4" s="32" t="s">
        <v>133</v>
      </c>
      <c r="R4" s="32" t="s">
        <v>134</v>
      </c>
      <c r="S4" s="32" t="s">
        <v>135</v>
      </c>
      <c r="T4" s="32" t="s">
        <v>136</v>
      </c>
      <c r="U4" s="32" t="s">
        <v>80</v>
      </c>
      <c r="V4" s="32" t="s">
        <v>137</v>
      </c>
      <c r="W4" s="32" t="s">
        <v>138</v>
      </c>
      <c r="X4" s="32" t="s">
        <v>139</v>
      </c>
      <c r="Y4" s="32" t="s">
        <v>140</v>
      </c>
    </row>
    <row r="5" customFormat="false" ht="15" hidden="false" customHeight="false" outlineLevel="0" collapsed="false">
      <c r="A5" s="23" t="n">
        <v>1</v>
      </c>
      <c r="B5" s="23" t="s">
        <v>141</v>
      </c>
      <c r="C5" s="21" t="s">
        <v>142</v>
      </c>
      <c r="D5" s="23" t="s">
        <v>143</v>
      </c>
      <c r="E5" s="5" t="s">
        <v>144</v>
      </c>
      <c r="F5" s="5" t="s">
        <v>145</v>
      </c>
      <c r="G5" s="29" t="s">
        <v>86</v>
      </c>
      <c r="H5" s="28" t="n">
        <v>1</v>
      </c>
      <c r="I5" s="28" t="n">
        <v>0</v>
      </c>
      <c r="J5" s="6" t="n">
        <f aca="false">INDEX(Supuestos!$B$28:$B$31,MATCH(G5,Supuestos!$A$28:$A$31,0))</f>
        <v>8</v>
      </c>
      <c r="K5" s="10" t="n">
        <f aca="false">J5*INDEX(Supuestos!$F$28:$F$31,MATCH(G5,Supuestos!$A$28:$A$31,0))</f>
        <v>2.8</v>
      </c>
      <c r="L5" s="10" t="n">
        <f aca="false">J5*INDEX(Supuestos!$G$28:$G$31,MATCH(G5,Supuestos!$A$28:$A$31,0))</f>
        <v>3.2</v>
      </c>
      <c r="M5" s="10" t="n">
        <f aca="false">J5*INDEX(Supuestos!$H$28:$H$31,MATCH(G5,Supuestos!$A$28:$A$31,0))</f>
        <v>2</v>
      </c>
      <c r="N5" s="10" t="n">
        <f aca="false">I5*Supuestos!$B$5</f>
        <v>0</v>
      </c>
      <c r="O5" s="40" t="n">
        <f aca="false">Supuestos!$B$18</f>
        <v>1</v>
      </c>
      <c r="P5" s="9" t="n">
        <f aca="false">J5+N5+O5</f>
        <v>9</v>
      </c>
      <c r="Q5" s="20" t="n">
        <f aca="false">K5*Supuestos!$B$36+L5*Supuestos!$B$39+M5*Supuestos!$B$40</f>
        <v>640</v>
      </c>
      <c r="R5" s="20" t="n">
        <f aca="false">N5*Supuestos!$B$37</f>
        <v>0</v>
      </c>
      <c r="S5" s="20" t="n">
        <f aca="false">O5*Supuestos!$B$38</f>
        <v>80</v>
      </c>
      <c r="T5" s="14" t="n">
        <f aca="false">Q5+R5+S5</f>
        <v>720</v>
      </c>
      <c r="U5" s="6" t="n">
        <f aca="false">INDEX(Supuestos!$E$28:$E$31,MATCH(G5,Supuestos!$A$28:$A$31,0))</f>
        <v>40</v>
      </c>
      <c r="V5" s="41" t="n">
        <f aca="false">(INDEX(Supuestos!$C$28:$C$31,MATCH(G5,Supuestos!$A$28:$A$31,0))*Supuestos!$B$13+INDEX(Supuestos!$D$28:$D$31,MATCH(G5,Supuestos!$A$28:$A$31,0))*Supuestos!$B$14)/1000000</f>
        <v>0.000425</v>
      </c>
      <c r="W5" s="42" t="n">
        <f aca="false">U5*Supuestos!$B$8*V5*Supuestos!$B$2</f>
        <v>0.14875</v>
      </c>
      <c r="X5" s="42" t="n">
        <f aca="false">U5*Supuestos!$B$8*(INDEX(Supuestos!$C$28:$C$31,MATCH(G5,Supuestos!$A$28:$A$31,0))*Supuestos!$B$22+INDEX(Supuestos!$D$28:$D$31,MATCH(G5,Supuestos!$A$28:$A$31,0))*Supuestos!$C$22)/1000000*Supuestos!$B$2</f>
        <v>1.4875</v>
      </c>
      <c r="Y5" s="42" t="n">
        <f aca="false">Supuestos!$B$17*V5*Supuestos!$B$2</f>
        <v>0.74375</v>
      </c>
    </row>
    <row r="6" customFormat="false" ht="15" hidden="false" customHeight="false" outlineLevel="0" collapsed="false">
      <c r="A6" s="23" t="n">
        <v>2</v>
      </c>
      <c r="B6" s="23" t="s">
        <v>141</v>
      </c>
      <c r="C6" s="21" t="s">
        <v>146</v>
      </c>
      <c r="D6" s="23" t="s">
        <v>147</v>
      </c>
      <c r="E6" s="5" t="s">
        <v>148</v>
      </c>
      <c r="F6" s="5" t="s">
        <v>149</v>
      </c>
      <c r="G6" s="29" t="s">
        <v>86</v>
      </c>
      <c r="H6" s="28" t="n">
        <v>1</v>
      </c>
      <c r="I6" s="28" t="n">
        <v>0</v>
      </c>
      <c r="J6" s="6" t="n">
        <f aca="false">INDEX(Supuestos!$B$28:$B$31,MATCH(G6,Supuestos!$A$28:$A$31,0))</f>
        <v>8</v>
      </c>
      <c r="K6" s="10" t="n">
        <f aca="false">J6*INDEX(Supuestos!$F$28:$F$31,MATCH(G6,Supuestos!$A$28:$A$31,0))</f>
        <v>2.8</v>
      </c>
      <c r="L6" s="10" t="n">
        <f aca="false">J6*INDEX(Supuestos!$G$28:$G$31,MATCH(G6,Supuestos!$A$28:$A$31,0))</f>
        <v>3.2</v>
      </c>
      <c r="M6" s="10" t="n">
        <f aca="false">J6*INDEX(Supuestos!$H$28:$H$31,MATCH(G6,Supuestos!$A$28:$A$31,0))</f>
        <v>2</v>
      </c>
      <c r="N6" s="10" t="n">
        <f aca="false">I6*Supuestos!$B$5</f>
        <v>0</v>
      </c>
      <c r="O6" s="40" t="n">
        <f aca="false">Supuestos!$B$18</f>
        <v>1</v>
      </c>
      <c r="P6" s="9" t="n">
        <f aca="false">J6+N6+O6</f>
        <v>9</v>
      </c>
      <c r="Q6" s="20" t="n">
        <f aca="false">K6*Supuestos!$B$36+L6*Supuestos!$B$39+M6*Supuestos!$B$40</f>
        <v>640</v>
      </c>
      <c r="R6" s="20" t="n">
        <f aca="false">N6*Supuestos!$B$37</f>
        <v>0</v>
      </c>
      <c r="S6" s="20" t="n">
        <f aca="false">O6*Supuestos!$B$38</f>
        <v>80</v>
      </c>
      <c r="T6" s="14" t="n">
        <f aca="false">Q6+R6+S6</f>
        <v>720</v>
      </c>
      <c r="U6" s="6" t="n">
        <f aca="false">INDEX(Supuestos!$E$28:$E$31,MATCH(G6,Supuestos!$A$28:$A$31,0))</f>
        <v>40</v>
      </c>
      <c r="V6" s="41" t="n">
        <f aca="false">(INDEX(Supuestos!$C$28:$C$31,MATCH(G6,Supuestos!$A$28:$A$31,0))*Supuestos!$B$13+INDEX(Supuestos!$D$28:$D$31,MATCH(G6,Supuestos!$A$28:$A$31,0))*Supuestos!$B$14)/1000000</f>
        <v>0.000425</v>
      </c>
      <c r="W6" s="42" t="n">
        <f aca="false">U6*Supuestos!$B$8*V6*Supuestos!$B$2</f>
        <v>0.14875</v>
      </c>
      <c r="X6" s="42" t="n">
        <f aca="false">U6*Supuestos!$B$8*(INDEX(Supuestos!$C$28:$C$31,MATCH(G6,Supuestos!$A$28:$A$31,0))*Supuestos!$B$22+INDEX(Supuestos!$D$28:$D$31,MATCH(G6,Supuestos!$A$28:$A$31,0))*Supuestos!$C$22)/1000000*Supuestos!$B$2</f>
        <v>1.4875</v>
      </c>
      <c r="Y6" s="42" t="n">
        <f aca="false">Supuestos!$B$17*V6*Supuestos!$B$2</f>
        <v>0.74375</v>
      </c>
    </row>
    <row r="7" customFormat="false" ht="15" hidden="false" customHeight="false" outlineLevel="0" collapsed="false">
      <c r="A7" s="23" t="n">
        <v>3</v>
      </c>
      <c r="B7" s="23" t="s">
        <v>141</v>
      </c>
      <c r="C7" s="21" t="s">
        <v>150</v>
      </c>
      <c r="D7" s="23" t="s">
        <v>147</v>
      </c>
      <c r="E7" s="5" t="s">
        <v>151</v>
      </c>
      <c r="F7" s="5" t="s">
        <v>152</v>
      </c>
      <c r="G7" s="29" t="s">
        <v>86</v>
      </c>
      <c r="H7" s="28" t="n">
        <v>1</v>
      </c>
      <c r="I7" s="28" t="n">
        <v>1</v>
      </c>
      <c r="J7" s="6" t="n">
        <f aca="false">INDEX(Supuestos!$B$28:$B$31,MATCH(G7,Supuestos!$A$28:$A$31,0))</f>
        <v>8</v>
      </c>
      <c r="K7" s="10" t="n">
        <f aca="false">J7*INDEX(Supuestos!$F$28:$F$31,MATCH(G7,Supuestos!$A$28:$A$31,0))</f>
        <v>2.8</v>
      </c>
      <c r="L7" s="10" t="n">
        <f aca="false">J7*INDEX(Supuestos!$G$28:$G$31,MATCH(G7,Supuestos!$A$28:$A$31,0))</f>
        <v>3.2</v>
      </c>
      <c r="M7" s="10" t="n">
        <f aca="false">J7*INDEX(Supuestos!$H$28:$H$31,MATCH(G7,Supuestos!$A$28:$A$31,0))</f>
        <v>2</v>
      </c>
      <c r="N7" s="10" t="n">
        <f aca="false">I7*Supuestos!$B$5</f>
        <v>6</v>
      </c>
      <c r="O7" s="40" t="n">
        <f aca="false">Supuestos!$B$18</f>
        <v>1</v>
      </c>
      <c r="P7" s="9" t="n">
        <f aca="false">J7+N7+O7</f>
        <v>15</v>
      </c>
      <c r="Q7" s="20" t="n">
        <f aca="false">K7*Supuestos!$B$36+L7*Supuestos!$B$39+M7*Supuestos!$B$40</f>
        <v>640</v>
      </c>
      <c r="R7" s="20" t="n">
        <f aca="false">N7*Supuestos!$B$37</f>
        <v>480</v>
      </c>
      <c r="S7" s="20" t="n">
        <f aca="false">O7*Supuestos!$B$38</f>
        <v>80</v>
      </c>
      <c r="T7" s="14" t="n">
        <f aca="false">Q7+R7+S7</f>
        <v>1200</v>
      </c>
      <c r="U7" s="6" t="n">
        <f aca="false">INDEX(Supuestos!$E$28:$E$31,MATCH(G7,Supuestos!$A$28:$A$31,0))</f>
        <v>40</v>
      </c>
      <c r="V7" s="41" t="n">
        <f aca="false">(INDEX(Supuestos!$C$28:$C$31,MATCH(G7,Supuestos!$A$28:$A$31,0))*Supuestos!$B$13+INDEX(Supuestos!$D$28:$D$31,MATCH(G7,Supuestos!$A$28:$A$31,0))*Supuestos!$B$14)/1000000</f>
        <v>0.000425</v>
      </c>
      <c r="W7" s="42" t="n">
        <f aca="false">U7*Supuestos!$B$8*V7*Supuestos!$B$2</f>
        <v>0.14875</v>
      </c>
      <c r="X7" s="42" t="n">
        <f aca="false">U7*Supuestos!$B$8*(INDEX(Supuestos!$C$28:$C$31,MATCH(G7,Supuestos!$A$28:$A$31,0))*Supuestos!$B$22+INDEX(Supuestos!$D$28:$D$31,MATCH(G7,Supuestos!$A$28:$A$31,0))*Supuestos!$C$22)/1000000*Supuestos!$B$2</f>
        <v>1.4875</v>
      </c>
      <c r="Y7" s="42" t="n">
        <f aca="false">Supuestos!$B$17*V7*Supuestos!$B$2</f>
        <v>0.74375</v>
      </c>
    </row>
    <row r="8" customFormat="false" ht="15" hidden="false" customHeight="false" outlineLevel="0" collapsed="false">
      <c r="A8" s="23" t="n">
        <v>4</v>
      </c>
      <c r="B8" s="23" t="s">
        <v>141</v>
      </c>
      <c r="C8" s="21" t="s">
        <v>153</v>
      </c>
      <c r="D8" s="23" t="s">
        <v>147</v>
      </c>
      <c r="E8" s="5" t="s">
        <v>154</v>
      </c>
      <c r="F8" s="5" t="s">
        <v>155</v>
      </c>
      <c r="G8" s="29" t="s">
        <v>86</v>
      </c>
      <c r="H8" s="28" t="n">
        <v>1</v>
      </c>
      <c r="I8" s="28" t="n">
        <v>1</v>
      </c>
      <c r="J8" s="6" t="n">
        <f aca="false">INDEX(Supuestos!$B$28:$B$31,MATCH(G8,Supuestos!$A$28:$A$31,0))</f>
        <v>8</v>
      </c>
      <c r="K8" s="10" t="n">
        <f aca="false">J8*INDEX(Supuestos!$F$28:$F$31,MATCH(G8,Supuestos!$A$28:$A$31,0))</f>
        <v>2.8</v>
      </c>
      <c r="L8" s="10" t="n">
        <f aca="false">J8*INDEX(Supuestos!$G$28:$G$31,MATCH(G8,Supuestos!$A$28:$A$31,0))</f>
        <v>3.2</v>
      </c>
      <c r="M8" s="10" t="n">
        <f aca="false">J8*INDEX(Supuestos!$H$28:$H$31,MATCH(G8,Supuestos!$A$28:$A$31,0))</f>
        <v>2</v>
      </c>
      <c r="N8" s="10" t="n">
        <f aca="false">I8*Supuestos!$B$5</f>
        <v>6</v>
      </c>
      <c r="O8" s="40" t="n">
        <f aca="false">Supuestos!$B$18</f>
        <v>1</v>
      </c>
      <c r="P8" s="9" t="n">
        <f aca="false">J8+N8+O8</f>
        <v>15</v>
      </c>
      <c r="Q8" s="20" t="n">
        <f aca="false">K8*Supuestos!$B$36+L8*Supuestos!$B$39+M8*Supuestos!$B$40</f>
        <v>640</v>
      </c>
      <c r="R8" s="20" t="n">
        <f aca="false">N8*Supuestos!$B$37</f>
        <v>480</v>
      </c>
      <c r="S8" s="20" t="n">
        <f aca="false">O8*Supuestos!$B$38</f>
        <v>80</v>
      </c>
      <c r="T8" s="14" t="n">
        <f aca="false">Q8+R8+S8</f>
        <v>1200</v>
      </c>
      <c r="U8" s="6" t="n">
        <f aca="false">INDEX(Supuestos!$E$28:$E$31,MATCH(G8,Supuestos!$A$28:$A$31,0))</f>
        <v>40</v>
      </c>
      <c r="V8" s="41" t="n">
        <f aca="false">(INDEX(Supuestos!$C$28:$C$31,MATCH(G8,Supuestos!$A$28:$A$31,0))*Supuestos!$B$13+INDEX(Supuestos!$D$28:$D$31,MATCH(G8,Supuestos!$A$28:$A$31,0))*Supuestos!$B$14)/1000000</f>
        <v>0.000425</v>
      </c>
      <c r="W8" s="42" t="n">
        <f aca="false">U8*Supuestos!$B$8*V8*Supuestos!$B$2</f>
        <v>0.14875</v>
      </c>
      <c r="X8" s="42" t="n">
        <f aca="false">U8*Supuestos!$B$8*(INDEX(Supuestos!$C$28:$C$31,MATCH(G8,Supuestos!$A$28:$A$31,0))*Supuestos!$B$22+INDEX(Supuestos!$D$28:$D$31,MATCH(G8,Supuestos!$A$28:$A$31,0))*Supuestos!$C$22)/1000000*Supuestos!$B$2</f>
        <v>1.4875</v>
      </c>
      <c r="Y8" s="42" t="n">
        <f aca="false">Supuestos!$B$17*V8*Supuestos!$B$2</f>
        <v>0.74375</v>
      </c>
    </row>
    <row r="9" customFormat="false" ht="15" hidden="false" customHeight="false" outlineLevel="0" collapsed="false">
      <c r="A9" s="23" t="n">
        <v>5</v>
      </c>
      <c r="B9" s="23" t="s">
        <v>141</v>
      </c>
      <c r="C9" s="21" t="s">
        <v>156</v>
      </c>
      <c r="D9" s="23" t="s">
        <v>157</v>
      </c>
      <c r="E9" s="5" t="s">
        <v>158</v>
      </c>
      <c r="F9" s="5" t="s">
        <v>159</v>
      </c>
      <c r="G9" s="29" t="s">
        <v>88</v>
      </c>
      <c r="H9" s="28" t="n">
        <v>1</v>
      </c>
      <c r="I9" s="28" t="n">
        <v>1</v>
      </c>
      <c r="J9" s="6" t="n">
        <f aca="false">INDEX(Supuestos!$B$28:$B$31,MATCH(G9,Supuestos!$A$28:$A$31,0))</f>
        <v>16</v>
      </c>
      <c r="K9" s="10" t="n">
        <f aca="false">J9*INDEX(Supuestos!$F$28:$F$31,MATCH(G9,Supuestos!$A$28:$A$31,0))</f>
        <v>6.4</v>
      </c>
      <c r="L9" s="10" t="n">
        <f aca="false">J9*INDEX(Supuestos!$G$28:$G$31,MATCH(G9,Supuestos!$A$28:$A$31,0))</f>
        <v>5.6</v>
      </c>
      <c r="M9" s="10" t="n">
        <f aca="false">J9*INDEX(Supuestos!$H$28:$H$31,MATCH(G9,Supuestos!$A$28:$A$31,0))</f>
        <v>4</v>
      </c>
      <c r="N9" s="10" t="n">
        <f aca="false">I9*Supuestos!$B$5</f>
        <v>6</v>
      </c>
      <c r="O9" s="40" t="n">
        <f aca="false">Supuestos!$B$18</f>
        <v>1</v>
      </c>
      <c r="P9" s="9" t="n">
        <f aca="false">J9+N9+O9</f>
        <v>23</v>
      </c>
      <c r="Q9" s="20" t="n">
        <f aca="false">K9*Supuestos!$B$36+L9*Supuestos!$B$39+M9*Supuestos!$B$40</f>
        <v>1280</v>
      </c>
      <c r="R9" s="20" t="n">
        <f aca="false">N9*Supuestos!$B$37</f>
        <v>480</v>
      </c>
      <c r="S9" s="20" t="n">
        <f aca="false">O9*Supuestos!$B$38</f>
        <v>80</v>
      </c>
      <c r="T9" s="14" t="n">
        <f aca="false">Q9+R9+S9</f>
        <v>1840</v>
      </c>
      <c r="U9" s="6" t="n">
        <f aca="false">INDEX(Supuestos!$E$28:$E$31,MATCH(G9,Supuestos!$A$28:$A$31,0))</f>
        <v>60</v>
      </c>
      <c r="V9" s="41" t="n">
        <f aca="false">(INDEX(Supuestos!$C$28:$C$31,MATCH(G9,Supuestos!$A$28:$A$31,0))*Supuestos!$B$13+INDEX(Supuestos!$D$28:$D$31,MATCH(G9,Supuestos!$A$28:$A$31,0))*Supuestos!$B$14)/1000000</f>
        <v>0.0005</v>
      </c>
      <c r="W9" s="42" t="n">
        <f aca="false">U9*Supuestos!$B$8*V9*Supuestos!$B$2</f>
        <v>0.2625</v>
      </c>
      <c r="X9" s="42" t="n">
        <f aca="false">U9*Supuestos!$B$8*(INDEX(Supuestos!$C$28:$C$31,MATCH(G9,Supuestos!$A$28:$A$31,0))*Supuestos!$B$22+INDEX(Supuestos!$D$28:$D$31,MATCH(G9,Supuestos!$A$28:$A$31,0))*Supuestos!$C$22)/1000000*Supuestos!$B$2</f>
        <v>2.625</v>
      </c>
      <c r="Y9" s="42" t="n">
        <f aca="false">Supuestos!$B$17*V9*Supuestos!$B$2</f>
        <v>0.875</v>
      </c>
    </row>
    <row r="10" customFormat="false" ht="23.85" hidden="false" customHeight="false" outlineLevel="0" collapsed="false">
      <c r="A10" s="23" t="n">
        <v>6</v>
      </c>
      <c r="B10" s="23" t="s">
        <v>141</v>
      </c>
      <c r="C10" s="21" t="s">
        <v>160</v>
      </c>
      <c r="D10" s="23" t="s">
        <v>157</v>
      </c>
      <c r="E10" s="5" t="s">
        <v>161</v>
      </c>
      <c r="F10" s="5" t="s">
        <v>162</v>
      </c>
      <c r="G10" s="29" t="s">
        <v>88</v>
      </c>
      <c r="H10" s="28" t="n">
        <v>2</v>
      </c>
      <c r="I10" s="28" t="n">
        <v>0</v>
      </c>
      <c r="J10" s="6" t="n">
        <f aca="false">INDEX(Supuestos!$B$28:$B$31,MATCH(G10,Supuestos!$A$28:$A$31,0))</f>
        <v>16</v>
      </c>
      <c r="K10" s="10" t="n">
        <f aca="false">J10*INDEX(Supuestos!$F$28:$F$31,MATCH(G10,Supuestos!$A$28:$A$31,0))</f>
        <v>6.4</v>
      </c>
      <c r="L10" s="10" t="n">
        <f aca="false">J10*INDEX(Supuestos!$G$28:$G$31,MATCH(G10,Supuestos!$A$28:$A$31,0))</f>
        <v>5.6</v>
      </c>
      <c r="M10" s="10" t="n">
        <f aca="false">J10*INDEX(Supuestos!$H$28:$H$31,MATCH(G10,Supuestos!$A$28:$A$31,0))</f>
        <v>4</v>
      </c>
      <c r="N10" s="10" t="n">
        <f aca="false">I10*Supuestos!$B$5</f>
        <v>0</v>
      </c>
      <c r="O10" s="40" t="n">
        <f aca="false">Supuestos!$B$18</f>
        <v>1</v>
      </c>
      <c r="P10" s="9" t="n">
        <f aca="false">J10+N10+O10</f>
        <v>17</v>
      </c>
      <c r="Q10" s="20" t="n">
        <f aca="false">K10*Supuestos!$B$36+L10*Supuestos!$B$39+M10*Supuestos!$B$40</f>
        <v>1280</v>
      </c>
      <c r="R10" s="20" t="n">
        <f aca="false">N10*Supuestos!$B$37</f>
        <v>0</v>
      </c>
      <c r="S10" s="20" t="n">
        <f aca="false">O10*Supuestos!$B$38</f>
        <v>80</v>
      </c>
      <c r="T10" s="14" t="n">
        <f aca="false">Q10+R10+S10</f>
        <v>1360</v>
      </c>
      <c r="U10" s="6" t="n">
        <f aca="false">INDEX(Supuestos!$E$28:$E$31,MATCH(G10,Supuestos!$A$28:$A$31,0))</f>
        <v>60</v>
      </c>
      <c r="V10" s="41" t="n">
        <f aca="false">(INDEX(Supuestos!$C$28:$C$31,MATCH(G10,Supuestos!$A$28:$A$31,0))*Supuestos!$B$13+INDEX(Supuestos!$D$28:$D$31,MATCH(G10,Supuestos!$A$28:$A$31,0))*Supuestos!$B$14)/1000000</f>
        <v>0.0005</v>
      </c>
      <c r="W10" s="42" t="n">
        <f aca="false">U10*Supuestos!$B$8*V10*Supuestos!$B$2</f>
        <v>0.2625</v>
      </c>
      <c r="X10" s="42" t="n">
        <f aca="false">U10*Supuestos!$B$8*(INDEX(Supuestos!$C$28:$C$31,MATCH(G10,Supuestos!$A$28:$A$31,0))*Supuestos!$B$22+INDEX(Supuestos!$D$28:$D$31,MATCH(G10,Supuestos!$A$28:$A$31,0))*Supuestos!$C$22)/1000000*Supuestos!$B$2</f>
        <v>2.625</v>
      </c>
      <c r="Y10" s="42" t="n">
        <f aca="false">Supuestos!$B$17*V10*Supuestos!$B$2</f>
        <v>0.875</v>
      </c>
    </row>
    <row r="11" customFormat="false" ht="15" hidden="false" customHeight="false" outlineLevel="0" collapsed="false">
      <c r="A11" s="23" t="n">
        <v>7</v>
      </c>
      <c r="B11" s="23" t="s">
        <v>141</v>
      </c>
      <c r="C11" s="21" t="s">
        <v>163</v>
      </c>
      <c r="D11" s="23" t="s">
        <v>164</v>
      </c>
      <c r="E11" s="5" t="s">
        <v>165</v>
      </c>
      <c r="F11" s="5" t="s">
        <v>166</v>
      </c>
      <c r="G11" s="29" t="s">
        <v>88</v>
      </c>
      <c r="H11" s="28" t="n">
        <v>2</v>
      </c>
      <c r="I11" s="28" t="n">
        <v>1</v>
      </c>
      <c r="J11" s="6" t="n">
        <f aca="false">INDEX(Supuestos!$B$28:$B$31,MATCH(G11,Supuestos!$A$28:$A$31,0))</f>
        <v>16</v>
      </c>
      <c r="K11" s="10" t="n">
        <f aca="false">J11*INDEX(Supuestos!$F$28:$F$31,MATCH(G11,Supuestos!$A$28:$A$31,0))</f>
        <v>6.4</v>
      </c>
      <c r="L11" s="10" t="n">
        <f aca="false">J11*INDEX(Supuestos!$G$28:$G$31,MATCH(G11,Supuestos!$A$28:$A$31,0))</f>
        <v>5.6</v>
      </c>
      <c r="M11" s="10" t="n">
        <f aca="false">J11*INDEX(Supuestos!$H$28:$H$31,MATCH(G11,Supuestos!$A$28:$A$31,0))</f>
        <v>4</v>
      </c>
      <c r="N11" s="10" t="n">
        <f aca="false">I11*Supuestos!$B$5</f>
        <v>6</v>
      </c>
      <c r="O11" s="40" t="n">
        <f aca="false">Supuestos!$B$18</f>
        <v>1</v>
      </c>
      <c r="P11" s="9" t="n">
        <f aca="false">J11+N11+O11</f>
        <v>23</v>
      </c>
      <c r="Q11" s="20" t="n">
        <f aca="false">K11*Supuestos!$B$36+L11*Supuestos!$B$39+M11*Supuestos!$B$40</f>
        <v>1280</v>
      </c>
      <c r="R11" s="20" t="n">
        <f aca="false">N11*Supuestos!$B$37</f>
        <v>480</v>
      </c>
      <c r="S11" s="20" t="n">
        <f aca="false">O11*Supuestos!$B$38</f>
        <v>80</v>
      </c>
      <c r="T11" s="14" t="n">
        <f aca="false">Q11+R11+S11</f>
        <v>1840</v>
      </c>
      <c r="U11" s="6" t="n">
        <f aca="false">INDEX(Supuestos!$E$28:$E$31,MATCH(G11,Supuestos!$A$28:$A$31,0))</f>
        <v>60</v>
      </c>
      <c r="V11" s="41" t="n">
        <f aca="false">(INDEX(Supuestos!$C$28:$C$31,MATCH(G11,Supuestos!$A$28:$A$31,0))*Supuestos!$B$13+INDEX(Supuestos!$D$28:$D$31,MATCH(G11,Supuestos!$A$28:$A$31,0))*Supuestos!$B$14)/1000000</f>
        <v>0.0005</v>
      </c>
      <c r="W11" s="42" t="n">
        <f aca="false">U11*Supuestos!$B$8*V11*Supuestos!$B$2</f>
        <v>0.2625</v>
      </c>
      <c r="X11" s="42" t="n">
        <f aca="false">U11*Supuestos!$B$8*(INDEX(Supuestos!$C$28:$C$31,MATCH(G11,Supuestos!$A$28:$A$31,0))*Supuestos!$B$22+INDEX(Supuestos!$D$28:$D$31,MATCH(G11,Supuestos!$A$28:$A$31,0))*Supuestos!$C$22)/1000000*Supuestos!$B$2</f>
        <v>2.625</v>
      </c>
      <c r="Y11" s="42" t="n">
        <f aca="false">Supuestos!$B$17*V11*Supuestos!$B$2</f>
        <v>0.875</v>
      </c>
    </row>
    <row r="12" customFormat="false" ht="15" hidden="false" customHeight="false" outlineLevel="0" collapsed="false">
      <c r="A12" s="23" t="n">
        <v>8</v>
      </c>
      <c r="B12" s="23" t="s">
        <v>141</v>
      </c>
      <c r="C12" s="21" t="s">
        <v>167</v>
      </c>
      <c r="D12" s="23" t="s">
        <v>164</v>
      </c>
      <c r="E12" s="5" t="s">
        <v>168</v>
      </c>
      <c r="F12" s="5" t="s">
        <v>169</v>
      </c>
      <c r="G12" s="29" t="s">
        <v>88</v>
      </c>
      <c r="H12" s="28" t="n">
        <v>2</v>
      </c>
      <c r="I12" s="28" t="n">
        <v>0</v>
      </c>
      <c r="J12" s="6" t="n">
        <f aca="false">INDEX(Supuestos!$B$28:$B$31,MATCH(G12,Supuestos!$A$28:$A$31,0))</f>
        <v>16</v>
      </c>
      <c r="K12" s="10" t="n">
        <f aca="false">J12*INDEX(Supuestos!$F$28:$F$31,MATCH(G12,Supuestos!$A$28:$A$31,0))</f>
        <v>6.4</v>
      </c>
      <c r="L12" s="10" t="n">
        <f aca="false">J12*INDEX(Supuestos!$G$28:$G$31,MATCH(G12,Supuestos!$A$28:$A$31,0))</f>
        <v>5.6</v>
      </c>
      <c r="M12" s="10" t="n">
        <f aca="false">J12*INDEX(Supuestos!$H$28:$H$31,MATCH(G12,Supuestos!$A$28:$A$31,0))</f>
        <v>4</v>
      </c>
      <c r="N12" s="10" t="n">
        <f aca="false">I12*Supuestos!$B$5</f>
        <v>0</v>
      </c>
      <c r="O12" s="40" t="n">
        <f aca="false">Supuestos!$B$18</f>
        <v>1</v>
      </c>
      <c r="P12" s="9" t="n">
        <f aca="false">J12+N12+O12</f>
        <v>17</v>
      </c>
      <c r="Q12" s="20" t="n">
        <f aca="false">K12*Supuestos!$B$36+L12*Supuestos!$B$39+M12*Supuestos!$B$40</f>
        <v>1280</v>
      </c>
      <c r="R12" s="20" t="n">
        <f aca="false">N12*Supuestos!$B$37</f>
        <v>0</v>
      </c>
      <c r="S12" s="20" t="n">
        <f aca="false">O12*Supuestos!$B$38</f>
        <v>80</v>
      </c>
      <c r="T12" s="14" t="n">
        <f aca="false">Q12+R12+S12</f>
        <v>1360</v>
      </c>
      <c r="U12" s="6" t="n">
        <f aca="false">INDEX(Supuestos!$E$28:$E$31,MATCH(G12,Supuestos!$A$28:$A$31,0))</f>
        <v>60</v>
      </c>
      <c r="V12" s="41" t="n">
        <f aca="false">(INDEX(Supuestos!$C$28:$C$31,MATCH(G12,Supuestos!$A$28:$A$31,0))*Supuestos!$B$13+INDEX(Supuestos!$D$28:$D$31,MATCH(G12,Supuestos!$A$28:$A$31,0))*Supuestos!$B$14)/1000000</f>
        <v>0.0005</v>
      </c>
      <c r="W12" s="42" t="n">
        <f aca="false">U12*Supuestos!$B$8*V12*Supuestos!$B$2</f>
        <v>0.2625</v>
      </c>
      <c r="X12" s="42" t="n">
        <f aca="false">U12*Supuestos!$B$8*(INDEX(Supuestos!$C$28:$C$31,MATCH(G12,Supuestos!$A$28:$A$31,0))*Supuestos!$B$22+INDEX(Supuestos!$D$28:$D$31,MATCH(G12,Supuestos!$A$28:$A$31,0))*Supuestos!$C$22)/1000000*Supuestos!$B$2</f>
        <v>2.625</v>
      </c>
      <c r="Y12" s="42" t="n">
        <f aca="false">Supuestos!$B$17*V12*Supuestos!$B$2</f>
        <v>0.875</v>
      </c>
    </row>
    <row r="13" customFormat="false" ht="23.85" hidden="false" customHeight="false" outlineLevel="0" collapsed="false">
      <c r="A13" s="23" t="n">
        <v>9</v>
      </c>
      <c r="B13" s="23" t="s">
        <v>141</v>
      </c>
      <c r="C13" s="21" t="s">
        <v>170</v>
      </c>
      <c r="D13" s="23" t="s">
        <v>164</v>
      </c>
      <c r="E13" s="5" t="s">
        <v>171</v>
      </c>
      <c r="F13" s="5" t="s">
        <v>172</v>
      </c>
      <c r="G13" s="29" t="s">
        <v>90</v>
      </c>
      <c r="H13" s="28" t="n">
        <v>2</v>
      </c>
      <c r="I13" s="28" t="n">
        <v>1</v>
      </c>
      <c r="J13" s="6" t="n">
        <f aca="false">INDEX(Supuestos!$B$28:$B$31,MATCH(G13,Supuestos!$A$28:$A$31,0))</f>
        <v>24</v>
      </c>
      <c r="K13" s="10" t="n">
        <f aca="false">J13*INDEX(Supuestos!$F$28:$F$31,MATCH(G13,Supuestos!$A$28:$A$31,0))</f>
        <v>10.8</v>
      </c>
      <c r="L13" s="10" t="n">
        <f aca="false">J13*INDEX(Supuestos!$G$28:$G$31,MATCH(G13,Supuestos!$A$28:$A$31,0))</f>
        <v>7.2</v>
      </c>
      <c r="M13" s="10" t="n">
        <f aca="false">J13*INDEX(Supuestos!$H$28:$H$31,MATCH(G13,Supuestos!$A$28:$A$31,0))</f>
        <v>6</v>
      </c>
      <c r="N13" s="10" t="n">
        <f aca="false">I13*Supuestos!$B$5</f>
        <v>6</v>
      </c>
      <c r="O13" s="40" t="n">
        <f aca="false">Supuestos!$B$18</f>
        <v>1</v>
      </c>
      <c r="P13" s="9" t="n">
        <f aca="false">J13+N13+O13</f>
        <v>31</v>
      </c>
      <c r="Q13" s="20" t="n">
        <f aca="false">K13*Supuestos!$B$36+L13*Supuestos!$B$39+M13*Supuestos!$B$40</f>
        <v>1920</v>
      </c>
      <c r="R13" s="20" t="n">
        <f aca="false">N13*Supuestos!$B$37</f>
        <v>480</v>
      </c>
      <c r="S13" s="20" t="n">
        <f aca="false">O13*Supuestos!$B$38</f>
        <v>80</v>
      </c>
      <c r="T13" s="14" t="n">
        <f aca="false">Q13+R13+S13</f>
        <v>2480</v>
      </c>
      <c r="U13" s="6" t="n">
        <f aca="false">INDEX(Supuestos!$E$28:$E$31,MATCH(G13,Supuestos!$A$28:$A$31,0))</f>
        <v>80</v>
      </c>
      <c r="V13" s="41" t="n">
        <f aca="false">(INDEX(Supuestos!$C$28:$C$31,MATCH(G13,Supuestos!$A$28:$A$31,0))*Supuestos!$B$13+INDEX(Supuestos!$D$28:$D$31,MATCH(G13,Supuestos!$A$28:$A$31,0))*Supuestos!$B$14)/1000000</f>
        <v>0.00065</v>
      </c>
      <c r="W13" s="42" t="n">
        <f aca="false">U13*Supuestos!$B$8*V13*Supuestos!$B$2</f>
        <v>0.455</v>
      </c>
      <c r="X13" s="42" t="n">
        <f aca="false">U13*Supuestos!$B$8*(INDEX(Supuestos!$C$28:$C$31,MATCH(G13,Supuestos!$A$28:$A$31,0))*Supuestos!$B$22+INDEX(Supuestos!$D$28:$D$31,MATCH(G13,Supuestos!$A$28:$A$31,0))*Supuestos!$C$22)/1000000*Supuestos!$B$2</f>
        <v>4.55</v>
      </c>
      <c r="Y13" s="42" t="n">
        <f aca="false">Supuestos!$B$17*V13*Supuestos!$B$2</f>
        <v>1.1375</v>
      </c>
    </row>
    <row r="14" customFormat="false" ht="15" hidden="false" customHeight="false" outlineLevel="0" collapsed="false">
      <c r="A14" s="23" t="n">
        <v>10</v>
      </c>
      <c r="B14" s="23" t="s">
        <v>173</v>
      </c>
      <c r="C14" s="21" t="s">
        <v>174</v>
      </c>
      <c r="D14" s="23" t="s">
        <v>175</v>
      </c>
      <c r="E14" s="5" t="s">
        <v>176</v>
      </c>
      <c r="F14" s="5" t="s">
        <v>177</v>
      </c>
      <c r="G14" s="29" t="s">
        <v>88</v>
      </c>
      <c r="H14" s="28" t="n">
        <v>2</v>
      </c>
      <c r="I14" s="28" t="n">
        <v>0</v>
      </c>
      <c r="J14" s="6" t="n">
        <f aca="false">INDEX(Supuestos!$B$28:$B$31,MATCH(G14,Supuestos!$A$28:$A$31,0))</f>
        <v>16</v>
      </c>
      <c r="K14" s="10" t="n">
        <f aca="false">J14*INDEX(Supuestos!$F$28:$F$31,MATCH(G14,Supuestos!$A$28:$A$31,0))</f>
        <v>6.4</v>
      </c>
      <c r="L14" s="10" t="n">
        <f aca="false">J14*INDEX(Supuestos!$G$28:$G$31,MATCH(G14,Supuestos!$A$28:$A$31,0))</f>
        <v>5.6</v>
      </c>
      <c r="M14" s="10" t="n">
        <f aca="false">J14*INDEX(Supuestos!$H$28:$H$31,MATCH(G14,Supuestos!$A$28:$A$31,0))</f>
        <v>4</v>
      </c>
      <c r="N14" s="10" t="n">
        <f aca="false">I14*Supuestos!$B$5</f>
        <v>0</v>
      </c>
      <c r="O14" s="40" t="n">
        <f aca="false">Supuestos!$B$18</f>
        <v>1</v>
      </c>
      <c r="P14" s="9" t="n">
        <f aca="false">J14+N14+O14</f>
        <v>17</v>
      </c>
      <c r="Q14" s="20" t="n">
        <f aca="false">K14*Supuestos!$B$36+L14*Supuestos!$B$39+M14*Supuestos!$B$40</f>
        <v>1280</v>
      </c>
      <c r="R14" s="20" t="n">
        <f aca="false">N14*Supuestos!$B$37</f>
        <v>0</v>
      </c>
      <c r="S14" s="20" t="n">
        <f aca="false">O14*Supuestos!$B$38</f>
        <v>80</v>
      </c>
      <c r="T14" s="14" t="n">
        <f aca="false">Q14+R14+S14</f>
        <v>1360</v>
      </c>
      <c r="U14" s="6" t="n">
        <f aca="false">INDEX(Supuestos!$E$28:$E$31,MATCH(G14,Supuestos!$A$28:$A$31,0))</f>
        <v>60</v>
      </c>
      <c r="V14" s="41" t="n">
        <f aca="false">(INDEX(Supuestos!$C$28:$C$31,MATCH(G14,Supuestos!$A$28:$A$31,0))*Supuestos!$B$13+INDEX(Supuestos!$D$28:$D$31,MATCH(G14,Supuestos!$A$28:$A$31,0))*Supuestos!$B$14)/1000000</f>
        <v>0.0005</v>
      </c>
      <c r="W14" s="42" t="n">
        <f aca="false">U14*Supuestos!$B$8*V14*Supuestos!$B$2</f>
        <v>0.2625</v>
      </c>
      <c r="X14" s="42" t="n">
        <f aca="false">U14*Supuestos!$B$8*(INDEX(Supuestos!$C$28:$C$31,MATCH(G14,Supuestos!$A$28:$A$31,0))*Supuestos!$B$22+INDEX(Supuestos!$D$28:$D$31,MATCH(G14,Supuestos!$A$28:$A$31,0))*Supuestos!$C$22)/1000000*Supuestos!$B$2</f>
        <v>2.625</v>
      </c>
      <c r="Y14" s="42" t="n">
        <f aca="false">Supuestos!$B$17*V14*Supuestos!$B$2</f>
        <v>0.875</v>
      </c>
    </row>
    <row r="15" customFormat="false" ht="23.85" hidden="false" customHeight="false" outlineLevel="0" collapsed="false">
      <c r="A15" s="23" t="n">
        <v>11</v>
      </c>
      <c r="B15" s="23" t="s">
        <v>173</v>
      </c>
      <c r="C15" s="21" t="s">
        <v>178</v>
      </c>
      <c r="D15" s="23" t="s">
        <v>175</v>
      </c>
      <c r="E15" s="5" t="s">
        <v>179</v>
      </c>
      <c r="F15" s="5" t="s">
        <v>180</v>
      </c>
      <c r="G15" s="29" t="s">
        <v>90</v>
      </c>
      <c r="H15" s="28" t="n">
        <v>2</v>
      </c>
      <c r="I15" s="28" t="n">
        <v>0</v>
      </c>
      <c r="J15" s="6" t="n">
        <f aca="false">INDEX(Supuestos!$B$28:$B$31,MATCH(G15,Supuestos!$A$28:$A$31,0))</f>
        <v>24</v>
      </c>
      <c r="K15" s="10" t="n">
        <f aca="false">J15*INDEX(Supuestos!$F$28:$F$31,MATCH(G15,Supuestos!$A$28:$A$31,0))</f>
        <v>10.8</v>
      </c>
      <c r="L15" s="10" t="n">
        <f aca="false">J15*INDEX(Supuestos!$G$28:$G$31,MATCH(G15,Supuestos!$A$28:$A$31,0))</f>
        <v>7.2</v>
      </c>
      <c r="M15" s="10" t="n">
        <f aca="false">J15*INDEX(Supuestos!$H$28:$H$31,MATCH(G15,Supuestos!$A$28:$A$31,0))</f>
        <v>6</v>
      </c>
      <c r="N15" s="10" t="n">
        <f aca="false">I15*Supuestos!$B$5</f>
        <v>0</v>
      </c>
      <c r="O15" s="40" t="n">
        <f aca="false">Supuestos!$B$18</f>
        <v>1</v>
      </c>
      <c r="P15" s="9" t="n">
        <f aca="false">J15+N15+O15</f>
        <v>25</v>
      </c>
      <c r="Q15" s="20" t="n">
        <f aca="false">K15*Supuestos!$B$36+L15*Supuestos!$B$39+M15*Supuestos!$B$40</f>
        <v>1920</v>
      </c>
      <c r="R15" s="20" t="n">
        <f aca="false">N15*Supuestos!$B$37</f>
        <v>0</v>
      </c>
      <c r="S15" s="20" t="n">
        <f aca="false">O15*Supuestos!$B$38</f>
        <v>80</v>
      </c>
      <c r="T15" s="14" t="n">
        <f aca="false">Q15+R15+S15</f>
        <v>2000</v>
      </c>
      <c r="U15" s="6" t="n">
        <f aca="false">INDEX(Supuestos!$E$28:$E$31,MATCH(G15,Supuestos!$A$28:$A$31,0))</f>
        <v>80</v>
      </c>
      <c r="V15" s="41" t="n">
        <f aca="false">(INDEX(Supuestos!$C$28:$C$31,MATCH(G15,Supuestos!$A$28:$A$31,0))*Supuestos!$B$13+INDEX(Supuestos!$D$28:$D$31,MATCH(G15,Supuestos!$A$28:$A$31,0))*Supuestos!$B$14)/1000000</f>
        <v>0.00065</v>
      </c>
      <c r="W15" s="42" t="n">
        <f aca="false">U15*Supuestos!$B$8*V15*Supuestos!$B$2</f>
        <v>0.455</v>
      </c>
      <c r="X15" s="42" t="n">
        <f aca="false">U15*Supuestos!$B$8*(INDEX(Supuestos!$C$28:$C$31,MATCH(G15,Supuestos!$A$28:$A$31,0))*Supuestos!$B$22+INDEX(Supuestos!$D$28:$D$31,MATCH(G15,Supuestos!$A$28:$A$31,0))*Supuestos!$C$22)/1000000*Supuestos!$B$2</f>
        <v>4.55</v>
      </c>
      <c r="Y15" s="42" t="n">
        <f aca="false">Supuestos!$B$17*V15*Supuestos!$B$2</f>
        <v>1.1375</v>
      </c>
    </row>
    <row r="16" customFormat="false" ht="23.85" hidden="false" customHeight="false" outlineLevel="0" collapsed="false">
      <c r="A16" s="23" t="n">
        <v>12</v>
      </c>
      <c r="B16" s="23" t="s">
        <v>173</v>
      </c>
      <c r="C16" s="21" t="s">
        <v>181</v>
      </c>
      <c r="D16" s="23" t="s">
        <v>175</v>
      </c>
      <c r="E16" s="5" t="s">
        <v>182</v>
      </c>
      <c r="F16" s="5" t="s">
        <v>183</v>
      </c>
      <c r="G16" s="29" t="s">
        <v>88</v>
      </c>
      <c r="H16" s="28" t="n">
        <v>2</v>
      </c>
      <c r="I16" s="28" t="n">
        <v>0</v>
      </c>
      <c r="J16" s="6" t="n">
        <f aca="false">INDEX(Supuestos!$B$28:$B$31,MATCH(G16,Supuestos!$A$28:$A$31,0))</f>
        <v>16</v>
      </c>
      <c r="K16" s="10" t="n">
        <f aca="false">J16*INDEX(Supuestos!$F$28:$F$31,MATCH(G16,Supuestos!$A$28:$A$31,0))</f>
        <v>6.4</v>
      </c>
      <c r="L16" s="10" t="n">
        <f aca="false">J16*INDEX(Supuestos!$G$28:$G$31,MATCH(G16,Supuestos!$A$28:$A$31,0))</f>
        <v>5.6</v>
      </c>
      <c r="M16" s="10" t="n">
        <f aca="false">J16*INDEX(Supuestos!$H$28:$H$31,MATCH(G16,Supuestos!$A$28:$A$31,0))</f>
        <v>4</v>
      </c>
      <c r="N16" s="10" t="n">
        <f aca="false">I16*Supuestos!$B$5</f>
        <v>0</v>
      </c>
      <c r="O16" s="40" t="n">
        <f aca="false">Supuestos!$B$18</f>
        <v>1</v>
      </c>
      <c r="P16" s="9" t="n">
        <f aca="false">J16+N16+O16</f>
        <v>17</v>
      </c>
      <c r="Q16" s="20" t="n">
        <f aca="false">K16*Supuestos!$B$36+L16*Supuestos!$B$39+M16*Supuestos!$B$40</f>
        <v>1280</v>
      </c>
      <c r="R16" s="20" t="n">
        <f aca="false">N16*Supuestos!$B$37</f>
        <v>0</v>
      </c>
      <c r="S16" s="20" t="n">
        <f aca="false">O16*Supuestos!$B$38</f>
        <v>80</v>
      </c>
      <c r="T16" s="14" t="n">
        <f aca="false">Q16+R16+S16</f>
        <v>1360</v>
      </c>
      <c r="U16" s="6" t="n">
        <f aca="false">INDEX(Supuestos!$E$28:$E$31,MATCH(G16,Supuestos!$A$28:$A$31,0))</f>
        <v>60</v>
      </c>
      <c r="V16" s="41" t="n">
        <f aca="false">(INDEX(Supuestos!$C$28:$C$31,MATCH(G16,Supuestos!$A$28:$A$31,0))*Supuestos!$B$13+INDEX(Supuestos!$D$28:$D$31,MATCH(G16,Supuestos!$A$28:$A$31,0))*Supuestos!$B$14)/1000000</f>
        <v>0.0005</v>
      </c>
      <c r="W16" s="42" t="n">
        <f aca="false">U16*Supuestos!$B$8*V16*Supuestos!$B$2</f>
        <v>0.2625</v>
      </c>
      <c r="X16" s="42" t="n">
        <f aca="false">U16*Supuestos!$B$8*(INDEX(Supuestos!$C$28:$C$31,MATCH(G16,Supuestos!$A$28:$A$31,0))*Supuestos!$B$22+INDEX(Supuestos!$D$28:$D$31,MATCH(G16,Supuestos!$A$28:$A$31,0))*Supuestos!$C$22)/1000000*Supuestos!$B$2</f>
        <v>2.625</v>
      </c>
      <c r="Y16" s="42" t="n">
        <f aca="false">Supuestos!$B$17*V16*Supuestos!$B$2</f>
        <v>0.875</v>
      </c>
    </row>
    <row r="17" customFormat="false" ht="15" hidden="false" customHeight="false" outlineLevel="0" collapsed="false">
      <c r="A17" s="23" t="n">
        <v>13</v>
      </c>
      <c r="B17" s="23" t="s">
        <v>173</v>
      </c>
      <c r="C17" s="21" t="s">
        <v>184</v>
      </c>
      <c r="D17" s="23" t="s">
        <v>185</v>
      </c>
      <c r="E17" s="5" t="s">
        <v>186</v>
      </c>
      <c r="F17" s="5" t="s">
        <v>187</v>
      </c>
      <c r="G17" s="29" t="s">
        <v>88</v>
      </c>
      <c r="H17" s="28" t="n">
        <v>2</v>
      </c>
      <c r="I17" s="28" t="n">
        <v>1</v>
      </c>
      <c r="J17" s="6" t="n">
        <f aca="false">INDEX(Supuestos!$B$28:$B$31,MATCH(G17,Supuestos!$A$28:$A$31,0))</f>
        <v>16</v>
      </c>
      <c r="K17" s="10" t="n">
        <f aca="false">J17*INDEX(Supuestos!$F$28:$F$31,MATCH(G17,Supuestos!$A$28:$A$31,0))</f>
        <v>6.4</v>
      </c>
      <c r="L17" s="10" t="n">
        <f aca="false">J17*INDEX(Supuestos!$G$28:$G$31,MATCH(G17,Supuestos!$A$28:$A$31,0))</f>
        <v>5.6</v>
      </c>
      <c r="M17" s="10" t="n">
        <f aca="false">J17*INDEX(Supuestos!$H$28:$H$31,MATCH(G17,Supuestos!$A$28:$A$31,0))</f>
        <v>4</v>
      </c>
      <c r="N17" s="10" t="n">
        <f aca="false">I17*Supuestos!$B$5</f>
        <v>6</v>
      </c>
      <c r="O17" s="40" t="n">
        <f aca="false">Supuestos!$B$18</f>
        <v>1</v>
      </c>
      <c r="P17" s="9" t="n">
        <f aca="false">J17+N17+O17</f>
        <v>23</v>
      </c>
      <c r="Q17" s="20" t="n">
        <f aca="false">K17*Supuestos!$B$36+L17*Supuestos!$B$39+M17*Supuestos!$B$40</f>
        <v>1280</v>
      </c>
      <c r="R17" s="20" t="n">
        <f aca="false">N17*Supuestos!$B$37</f>
        <v>480</v>
      </c>
      <c r="S17" s="20" t="n">
        <f aca="false">O17*Supuestos!$B$38</f>
        <v>80</v>
      </c>
      <c r="T17" s="14" t="n">
        <f aca="false">Q17+R17+S17</f>
        <v>1840</v>
      </c>
      <c r="U17" s="6" t="n">
        <f aca="false">INDEX(Supuestos!$E$28:$E$31,MATCH(G17,Supuestos!$A$28:$A$31,0))</f>
        <v>60</v>
      </c>
      <c r="V17" s="41" t="n">
        <f aca="false">(INDEX(Supuestos!$C$28:$C$31,MATCH(G17,Supuestos!$A$28:$A$31,0))*Supuestos!$B$13+INDEX(Supuestos!$D$28:$D$31,MATCH(G17,Supuestos!$A$28:$A$31,0))*Supuestos!$B$14)/1000000</f>
        <v>0.0005</v>
      </c>
      <c r="W17" s="42" t="n">
        <f aca="false">U17*Supuestos!$B$8*V17*Supuestos!$B$2</f>
        <v>0.2625</v>
      </c>
      <c r="X17" s="42" t="n">
        <f aca="false">U17*Supuestos!$B$8*(INDEX(Supuestos!$C$28:$C$31,MATCH(G17,Supuestos!$A$28:$A$31,0))*Supuestos!$B$22+INDEX(Supuestos!$D$28:$D$31,MATCH(G17,Supuestos!$A$28:$A$31,0))*Supuestos!$C$22)/1000000*Supuestos!$B$2</f>
        <v>2.625</v>
      </c>
      <c r="Y17" s="42" t="n">
        <f aca="false">Supuestos!$B$17*V17*Supuestos!$B$2</f>
        <v>0.875</v>
      </c>
    </row>
    <row r="18" customFormat="false" ht="15" hidden="false" customHeight="false" outlineLevel="0" collapsed="false">
      <c r="A18" s="23" t="n">
        <v>14</v>
      </c>
      <c r="B18" s="23" t="s">
        <v>173</v>
      </c>
      <c r="C18" s="21" t="s">
        <v>188</v>
      </c>
      <c r="D18" s="23" t="s">
        <v>185</v>
      </c>
      <c r="E18" s="5" t="s">
        <v>189</v>
      </c>
      <c r="F18" s="5" t="s">
        <v>190</v>
      </c>
      <c r="G18" s="29" t="s">
        <v>88</v>
      </c>
      <c r="H18" s="28" t="n">
        <v>2</v>
      </c>
      <c r="I18" s="28" t="n">
        <v>1</v>
      </c>
      <c r="J18" s="6" t="n">
        <f aca="false">INDEX(Supuestos!$B$28:$B$31,MATCH(G18,Supuestos!$A$28:$A$31,0))</f>
        <v>16</v>
      </c>
      <c r="K18" s="10" t="n">
        <f aca="false">J18*INDEX(Supuestos!$F$28:$F$31,MATCH(G18,Supuestos!$A$28:$A$31,0))</f>
        <v>6.4</v>
      </c>
      <c r="L18" s="10" t="n">
        <f aca="false">J18*INDEX(Supuestos!$G$28:$G$31,MATCH(G18,Supuestos!$A$28:$A$31,0))</f>
        <v>5.6</v>
      </c>
      <c r="M18" s="10" t="n">
        <f aca="false">J18*INDEX(Supuestos!$H$28:$H$31,MATCH(G18,Supuestos!$A$28:$A$31,0))</f>
        <v>4</v>
      </c>
      <c r="N18" s="10" t="n">
        <f aca="false">I18*Supuestos!$B$5</f>
        <v>6</v>
      </c>
      <c r="O18" s="40" t="n">
        <f aca="false">Supuestos!$B$18</f>
        <v>1</v>
      </c>
      <c r="P18" s="9" t="n">
        <f aca="false">J18+N18+O18</f>
        <v>23</v>
      </c>
      <c r="Q18" s="20" t="n">
        <f aca="false">K18*Supuestos!$B$36+L18*Supuestos!$B$39+M18*Supuestos!$B$40</f>
        <v>1280</v>
      </c>
      <c r="R18" s="20" t="n">
        <f aca="false">N18*Supuestos!$B$37</f>
        <v>480</v>
      </c>
      <c r="S18" s="20" t="n">
        <f aca="false">O18*Supuestos!$B$38</f>
        <v>80</v>
      </c>
      <c r="T18" s="14" t="n">
        <f aca="false">Q18+R18+S18</f>
        <v>1840</v>
      </c>
      <c r="U18" s="6" t="n">
        <f aca="false">INDEX(Supuestos!$E$28:$E$31,MATCH(G18,Supuestos!$A$28:$A$31,0))</f>
        <v>60</v>
      </c>
      <c r="V18" s="41" t="n">
        <f aca="false">(INDEX(Supuestos!$C$28:$C$31,MATCH(G18,Supuestos!$A$28:$A$31,0))*Supuestos!$B$13+INDEX(Supuestos!$D$28:$D$31,MATCH(G18,Supuestos!$A$28:$A$31,0))*Supuestos!$B$14)/1000000</f>
        <v>0.0005</v>
      </c>
      <c r="W18" s="42" t="n">
        <f aca="false">U18*Supuestos!$B$8*V18*Supuestos!$B$2</f>
        <v>0.2625</v>
      </c>
      <c r="X18" s="42" t="n">
        <f aca="false">U18*Supuestos!$B$8*(INDEX(Supuestos!$C$28:$C$31,MATCH(G18,Supuestos!$A$28:$A$31,0))*Supuestos!$B$22+INDEX(Supuestos!$D$28:$D$31,MATCH(G18,Supuestos!$A$28:$A$31,0))*Supuestos!$C$22)/1000000*Supuestos!$B$2</f>
        <v>2.625</v>
      </c>
      <c r="Y18" s="42" t="n">
        <f aca="false">Supuestos!$B$17*V18*Supuestos!$B$2</f>
        <v>0.875</v>
      </c>
    </row>
    <row r="19" customFormat="false" ht="15" hidden="false" customHeight="false" outlineLevel="0" collapsed="false">
      <c r="A19" s="23" t="n">
        <v>15</v>
      </c>
      <c r="B19" s="23" t="s">
        <v>173</v>
      </c>
      <c r="C19" s="21" t="s">
        <v>191</v>
      </c>
      <c r="D19" s="23" t="s">
        <v>185</v>
      </c>
      <c r="E19" s="5" t="s">
        <v>192</v>
      </c>
      <c r="F19" s="5" t="s">
        <v>145</v>
      </c>
      <c r="G19" s="29" t="s">
        <v>88</v>
      </c>
      <c r="H19" s="28" t="n">
        <v>2</v>
      </c>
      <c r="I19" s="28" t="n">
        <v>0</v>
      </c>
      <c r="J19" s="6" t="n">
        <f aca="false">INDEX(Supuestos!$B$28:$B$31,MATCH(G19,Supuestos!$A$28:$A$31,0))</f>
        <v>16</v>
      </c>
      <c r="K19" s="10" t="n">
        <f aca="false">J19*INDEX(Supuestos!$F$28:$F$31,MATCH(G19,Supuestos!$A$28:$A$31,0))</f>
        <v>6.4</v>
      </c>
      <c r="L19" s="10" t="n">
        <f aca="false">J19*INDEX(Supuestos!$G$28:$G$31,MATCH(G19,Supuestos!$A$28:$A$31,0))</f>
        <v>5.6</v>
      </c>
      <c r="M19" s="10" t="n">
        <f aca="false">J19*INDEX(Supuestos!$H$28:$H$31,MATCH(G19,Supuestos!$A$28:$A$31,0))</f>
        <v>4</v>
      </c>
      <c r="N19" s="10" t="n">
        <f aca="false">I19*Supuestos!$B$5</f>
        <v>0</v>
      </c>
      <c r="O19" s="40" t="n">
        <f aca="false">Supuestos!$B$18</f>
        <v>1</v>
      </c>
      <c r="P19" s="9" t="n">
        <f aca="false">J19+N19+O19</f>
        <v>17</v>
      </c>
      <c r="Q19" s="20" t="n">
        <f aca="false">K19*Supuestos!$B$36+L19*Supuestos!$B$39+M19*Supuestos!$B$40</f>
        <v>1280</v>
      </c>
      <c r="R19" s="20" t="n">
        <f aca="false">N19*Supuestos!$B$37</f>
        <v>0</v>
      </c>
      <c r="S19" s="20" t="n">
        <f aca="false">O19*Supuestos!$B$38</f>
        <v>80</v>
      </c>
      <c r="T19" s="14" t="n">
        <f aca="false">Q19+R19+S19</f>
        <v>1360</v>
      </c>
      <c r="U19" s="6" t="n">
        <f aca="false">INDEX(Supuestos!$E$28:$E$31,MATCH(G19,Supuestos!$A$28:$A$31,0))</f>
        <v>60</v>
      </c>
      <c r="V19" s="41" t="n">
        <f aca="false">(INDEX(Supuestos!$C$28:$C$31,MATCH(G19,Supuestos!$A$28:$A$31,0))*Supuestos!$B$13+INDEX(Supuestos!$D$28:$D$31,MATCH(G19,Supuestos!$A$28:$A$31,0))*Supuestos!$B$14)/1000000</f>
        <v>0.0005</v>
      </c>
      <c r="W19" s="42" t="n">
        <f aca="false">U19*Supuestos!$B$8*V19*Supuestos!$B$2</f>
        <v>0.2625</v>
      </c>
      <c r="X19" s="42" t="n">
        <f aca="false">U19*Supuestos!$B$8*(INDEX(Supuestos!$C$28:$C$31,MATCH(G19,Supuestos!$A$28:$A$31,0))*Supuestos!$B$22+INDEX(Supuestos!$D$28:$D$31,MATCH(G19,Supuestos!$A$28:$A$31,0))*Supuestos!$C$22)/1000000*Supuestos!$B$2</f>
        <v>2.625</v>
      </c>
      <c r="Y19" s="42" t="n">
        <f aca="false">Supuestos!$B$17*V19*Supuestos!$B$2</f>
        <v>0.875</v>
      </c>
    </row>
    <row r="20" customFormat="false" ht="15" hidden="false" customHeight="false" outlineLevel="0" collapsed="false">
      <c r="A20" s="23" t="n">
        <v>16</v>
      </c>
      <c r="B20" s="23" t="s">
        <v>173</v>
      </c>
      <c r="C20" s="21" t="s">
        <v>193</v>
      </c>
      <c r="D20" s="23" t="s">
        <v>194</v>
      </c>
      <c r="E20" s="5" t="s">
        <v>195</v>
      </c>
      <c r="F20" s="5" t="s">
        <v>196</v>
      </c>
      <c r="G20" s="29" t="s">
        <v>88</v>
      </c>
      <c r="H20" s="28" t="n">
        <v>2</v>
      </c>
      <c r="I20" s="28" t="n">
        <v>1</v>
      </c>
      <c r="J20" s="6" t="n">
        <f aca="false">INDEX(Supuestos!$B$28:$B$31,MATCH(G20,Supuestos!$A$28:$A$31,0))</f>
        <v>16</v>
      </c>
      <c r="K20" s="10" t="n">
        <f aca="false">J20*INDEX(Supuestos!$F$28:$F$31,MATCH(G20,Supuestos!$A$28:$A$31,0))</f>
        <v>6.4</v>
      </c>
      <c r="L20" s="10" t="n">
        <f aca="false">J20*INDEX(Supuestos!$G$28:$G$31,MATCH(G20,Supuestos!$A$28:$A$31,0))</f>
        <v>5.6</v>
      </c>
      <c r="M20" s="10" t="n">
        <f aca="false">J20*INDEX(Supuestos!$H$28:$H$31,MATCH(G20,Supuestos!$A$28:$A$31,0))</f>
        <v>4</v>
      </c>
      <c r="N20" s="10" t="n">
        <f aca="false">I20*Supuestos!$B$5</f>
        <v>6</v>
      </c>
      <c r="O20" s="40" t="n">
        <f aca="false">Supuestos!$B$18</f>
        <v>1</v>
      </c>
      <c r="P20" s="9" t="n">
        <f aca="false">J20+N20+O20</f>
        <v>23</v>
      </c>
      <c r="Q20" s="20" t="n">
        <f aca="false">K20*Supuestos!$B$36+L20*Supuestos!$B$39+M20*Supuestos!$B$40</f>
        <v>1280</v>
      </c>
      <c r="R20" s="20" t="n">
        <f aca="false">N20*Supuestos!$B$37</f>
        <v>480</v>
      </c>
      <c r="S20" s="20" t="n">
        <f aca="false">O20*Supuestos!$B$38</f>
        <v>80</v>
      </c>
      <c r="T20" s="14" t="n">
        <f aca="false">Q20+R20+S20</f>
        <v>1840</v>
      </c>
      <c r="U20" s="6" t="n">
        <f aca="false">INDEX(Supuestos!$E$28:$E$31,MATCH(G20,Supuestos!$A$28:$A$31,0))</f>
        <v>60</v>
      </c>
      <c r="V20" s="41" t="n">
        <f aca="false">(INDEX(Supuestos!$C$28:$C$31,MATCH(G20,Supuestos!$A$28:$A$31,0))*Supuestos!$B$13+INDEX(Supuestos!$D$28:$D$31,MATCH(G20,Supuestos!$A$28:$A$31,0))*Supuestos!$B$14)/1000000</f>
        <v>0.0005</v>
      </c>
      <c r="W20" s="42" t="n">
        <f aca="false">U20*Supuestos!$B$8*V20*Supuestos!$B$2</f>
        <v>0.2625</v>
      </c>
      <c r="X20" s="42" t="n">
        <f aca="false">U20*Supuestos!$B$8*(INDEX(Supuestos!$C$28:$C$31,MATCH(G20,Supuestos!$A$28:$A$31,0))*Supuestos!$B$22+INDEX(Supuestos!$D$28:$D$31,MATCH(G20,Supuestos!$A$28:$A$31,0))*Supuestos!$C$22)/1000000*Supuestos!$B$2</f>
        <v>2.625</v>
      </c>
      <c r="Y20" s="42" t="n">
        <f aca="false">Supuestos!$B$17*V20*Supuestos!$B$2</f>
        <v>0.875</v>
      </c>
    </row>
    <row r="21" customFormat="false" ht="15" hidden="false" customHeight="false" outlineLevel="0" collapsed="false">
      <c r="A21" s="23" t="n">
        <v>17</v>
      </c>
      <c r="B21" s="23" t="s">
        <v>173</v>
      </c>
      <c r="C21" s="21" t="s">
        <v>197</v>
      </c>
      <c r="D21" s="23" t="s">
        <v>194</v>
      </c>
      <c r="E21" s="5" t="s">
        <v>198</v>
      </c>
      <c r="F21" s="5" t="s">
        <v>199</v>
      </c>
      <c r="G21" s="29" t="s">
        <v>90</v>
      </c>
      <c r="H21" s="28" t="n">
        <v>2</v>
      </c>
      <c r="I21" s="28" t="n">
        <v>1</v>
      </c>
      <c r="J21" s="6" t="n">
        <f aca="false">INDEX(Supuestos!$B$28:$B$31,MATCH(G21,Supuestos!$A$28:$A$31,0))</f>
        <v>24</v>
      </c>
      <c r="K21" s="10" t="n">
        <f aca="false">J21*INDEX(Supuestos!$F$28:$F$31,MATCH(G21,Supuestos!$A$28:$A$31,0))</f>
        <v>10.8</v>
      </c>
      <c r="L21" s="10" t="n">
        <f aca="false">J21*INDEX(Supuestos!$G$28:$G$31,MATCH(G21,Supuestos!$A$28:$A$31,0))</f>
        <v>7.2</v>
      </c>
      <c r="M21" s="10" t="n">
        <f aca="false">J21*INDEX(Supuestos!$H$28:$H$31,MATCH(G21,Supuestos!$A$28:$A$31,0))</f>
        <v>6</v>
      </c>
      <c r="N21" s="10" t="n">
        <f aca="false">I21*Supuestos!$B$5</f>
        <v>6</v>
      </c>
      <c r="O21" s="40" t="n">
        <f aca="false">Supuestos!$B$18</f>
        <v>1</v>
      </c>
      <c r="P21" s="9" t="n">
        <f aca="false">J21+N21+O21</f>
        <v>31</v>
      </c>
      <c r="Q21" s="20" t="n">
        <f aca="false">K21*Supuestos!$B$36+L21*Supuestos!$B$39+M21*Supuestos!$B$40</f>
        <v>1920</v>
      </c>
      <c r="R21" s="20" t="n">
        <f aca="false">N21*Supuestos!$B$37</f>
        <v>480</v>
      </c>
      <c r="S21" s="20" t="n">
        <f aca="false">O21*Supuestos!$B$38</f>
        <v>80</v>
      </c>
      <c r="T21" s="14" t="n">
        <f aca="false">Q21+R21+S21</f>
        <v>2480</v>
      </c>
      <c r="U21" s="6" t="n">
        <f aca="false">INDEX(Supuestos!$E$28:$E$31,MATCH(G21,Supuestos!$A$28:$A$31,0))</f>
        <v>80</v>
      </c>
      <c r="V21" s="41" t="n">
        <f aca="false">(INDEX(Supuestos!$C$28:$C$31,MATCH(G21,Supuestos!$A$28:$A$31,0))*Supuestos!$B$13+INDEX(Supuestos!$D$28:$D$31,MATCH(G21,Supuestos!$A$28:$A$31,0))*Supuestos!$B$14)/1000000</f>
        <v>0.00065</v>
      </c>
      <c r="W21" s="42" t="n">
        <f aca="false">U21*Supuestos!$B$8*V21*Supuestos!$B$2</f>
        <v>0.455</v>
      </c>
      <c r="X21" s="42" t="n">
        <f aca="false">U21*Supuestos!$B$8*(INDEX(Supuestos!$C$28:$C$31,MATCH(G21,Supuestos!$A$28:$A$31,0))*Supuestos!$B$22+INDEX(Supuestos!$D$28:$D$31,MATCH(G21,Supuestos!$A$28:$A$31,0))*Supuestos!$C$22)/1000000*Supuestos!$B$2</f>
        <v>4.55</v>
      </c>
      <c r="Y21" s="42" t="n">
        <f aca="false">Supuestos!$B$17*V21*Supuestos!$B$2</f>
        <v>1.1375</v>
      </c>
    </row>
    <row r="22" customFormat="false" ht="15" hidden="false" customHeight="false" outlineLevel="0" collapsed="false">
      <c r="A22" s="23" t="n">
        <v>18</v>
      </c>
      <c r="B22" s="23" t="s">
        <v>200</v>
      </c>
      <c r="C22" s="21" t="s">
        <v>201</v>
      </c>
      <c r="D22" s="23" t="s">
        <v>202</v>
      </c>
      <c r="E22" s="5" t="s">
        <v>203</v>
      </c>
      <c r="F22" s="5" t="s">
        <v>204</v>
      </c>
      <c r="G22" s="29" t="s">
        <v>88</v>
      </c>
      <c r="H22" s="28" t="n">
        <v>2</v>
      </c>
      <c r="I22" s="28" t="n">
        <v>1</v>
      </c>
      <c r="J22" s="6" t="n">
        <f aca="false">INDEX(Supuestos!$B$28:$B$31,MATCH(G22,Supuestos!$A$28:$A$31,0))</f>
        <v>16</v>
      </c>
      <c r="K22" s="10" t="n">
        <f aca="false">J22*INDEX(Supuestos!$F$28:$F$31,MATCH(G22,Supuestos!$A$28:$A$31,0))</f>
        <v>6.4</v>
      </c>
      <c r="L22" s="10" t="n">
        <f aca="false">J22*INDEX(Supuestos!$G$28:$G$31,MATCH(G22,Supuestos!$A$28:$A$31,0))</f>
        <v>5.6</v>
      </c>
      <c r="M22" s="10" t="n">
        <f aca="false">J22*INDEX(Supuestos!$H$28:$H$31,MATCH(G22,Supuestos!$A$28:$A$31,0))</f>
        <v>4</v>
      </c>
      <c r="N22" s="10" t="n">
        <f aca="false">I22*Supuestos!$B$5</f>
        <v>6</v>
      </c>
      <c r="O22" s="40" t="n">
        <f aca="false">Supuestos!$B$18</f>
        <v>1</v>
      </c>
      <c r="P22" s="9" t="n">
        <f aca="false">J22+N22+O22</f>
        <v>23</v>
      </c>
      <c r="Q22" s="20" t="n">
        <f aca="false">K22*Supuestos!$B$36+L22*Supuestos!$B$39+M22*Supuestos!$B$40</f>
        <v>1280</v>
      </c>
      <c r="R22" s="20" t="n">
        <f aca="false">N22*Supuestos!$B$37</f>
        <v>480</v>
      </c>
      <c r="S22" s="20" t="n">
        <f aca="false">O22*Supuestos!$B$38</f>
        <v>80</v>
      </c>
      <c r="T22" s="14" t="n">
        <f aca="false">Q22+R22+S22</f>
        <v>1840</v>
      </c>
      <c r="U22" s="6" t="n">
        <f aca="false">INDEX(Supuestos!$E$28:$E$31,MATCH(G22,Supuestos!$A$28:$A$31,0))</f>
        <v>60</v>
      </c>
      <c r="V22" s="41" t="n">
        <f aca="false">(INDEX(Supuestos!$C$28:$C$31,MATCH(G22,Supuestos!$A$28:$A$31,0))*Supuestos!$B$13+INDEX(Supuestos!$D$28:$D$31,MATCH(G22,Supuestos!$A$28:$A$31,0))*Supuestos!$B$14)/1000000</f>
        <v>0.0005</v>
      </c>
      <c r="W22" s="42" t="n">
        <f aca="false">U22*Supuestos!$B$8*V22*Supuestos!$B$2</f>
        <v>0.2625</v>
      </c>
      <c r="X22" s="42" t="n">
        <f aca="false">U22*Supuestos!$B$8*(INDEX(Supuestos!$C$28:$C$31,MATCH(G22,Supuestos!$A$28:$A$31,0))*Supuestos!$B$22+INDEX(Supuestos!$D$28:$D$31,MATCH(G22,Supuestos!$A$28:$A$31,0))*Supuestos!$C$22)/1000000*Supuestos!$B$2</f>
        <v>2.625</v>
      </c>
      <c r="Y22" s="42" t="n">
        <f aca="false">Supuestos!$B$17*V22*Supuestos!$B$2</f>
        <v>0.875</v>
      </c>
    </row>
    <row r="23" customFormat="false" ht="15" hidden="false" customHeight="false" outlineLevel="0" collapsed="false">
      <c r="A23" s="23" t="n">
        <v>19</v>
      </c>
      <c r="B23" s="23" t="s">
        <v>200</v>
      </c>
      <c r="C23" s="21" t="s">
        <v>205</v>
      </c>
      <c r="D23" s="23" t="s">
        <v>202</v>
      </c>
      <c r="E23" s="5" t="s">
        <v>206</v>
      </c>
      <c r="F23" s="5" t="s">
        <v>207</v>
      </c>
      <c r="G23" s="29" t="s">
        <v>90</v>
      </c>
      <c r="H23" s="28" t="n">
        <v>2</v>
      </c>
      <c r="I23" s="28" t="n">
        <v>0</v>
      </c>
      <c r="J23" s="6" t="n">
        <f aca="false">INDEX(Supuestos!$B$28:$B$31,MATCH(G23,Supuestos!$A$28:$A$31,0))</f>
        <v>24</v>
      </c>
      <c r="K23" s="10" t="n">
        <f aca="false">J23*INDEX(Supuestos!$F$28:$F$31,MATCH(G23,Supuestos!$A$28:$A$31,0))</f>
        <v>10.8</v>
      </c>
      <c r="L23" s="10" t="n">
        <f aca="false">J23*INDEX(Supuestos!$G$28:$G$31,MATCH(G23,Supuestos!$A$28:$A$31,0))</f>
        <v>7.2</v>
      </c>
      <c r="M23" s="10" t="n">
        <f aca="false">J23*INDEX(Supuestos!$H$28:$H$31,MATCH(G23,Supuestos!$A$28:$A$31,0))</f>
        <v>6</v>
      </c>
      <c r="N23" s="10" t="n">
        <f aca="false">I23*Supuestos!$B$5</f>
        <v>0</v>
      </c>
      <c r="O23" s="40" t="n">
        <f aca="false">Supuestos!$B$18</f>
        <v>1</v>
      </c>
      <c r="P23" s="9" t="n">
        <f aca="false">J23+N23+O23</f>
        <v>25</v>
      </c>
      <c r="Q23" s="20" t="n">
        <f aca="false">K23*Supuestos!$B$36+L23*Supuestos!$B$39+M23*Supuestos!$B$40</f>
        <v>1920</v>
      </c>
      <c r="R23" s="20" t="n">
        <f aca="false">N23*Supuestos!$B$37</f>
        <v>0</v>
      </c>
      <c r="S23" s="20" t="n">
        <f aca="false">O23*Supuestos!$B$38</f>
        <v>80</v>
      </c>
      <c r="T23" s="14" t="n">
        <f aca="false">Q23+R23+S23</f>
        <v>2000</v>
      </c>
      <c r="U23" s="6" t="n">
        <f aca="false">INDEX(Supuestos!$E$28:$E$31,MATCH(G23,Supuestos!$A$28:$A$31,0))</f>
        <v>80</v>
      </c>
      <c r="V23" s="41" t="n">
        <f aca="false">(INDEX(Supuestos!$C$28:$C$31,MATCH(G23,Supuestos!$A$28:$A$31,0))*Supuestos!$B$13+INDEX(Supuestos!$D$28:$D$31,MATCH(G23,Supuestos!$A$28:$A$31,0))*Supuestos!$B$14)/1000000</f>
        <v>0.00065</v>
      </c>
      <c r="W23" s="42" t="n">
        <f aca="false">U23*Supuestos!$B$8*V23*Supuestos!$B$2</f>
        <v>0.455</v>
      </c>
      <c r="X23" s="42" t="n">
        <f aca="false">U23*Supuestos!$B$8*(INDEX(Supuestos!$C$28:$C$31,MATCH(G23,Supuestos!$A$28:$A$31,0))*Supuestos!$B$22+INDEX(Supuestos!$D$28:$D$31,MATCH(G23,Supuestos!$A$28:$A$31,0))*Supuestos!$C$22)/1000000*Supuestos!$B$2</f>
        <v>4.55</v>
      </c>
      <c r="Y23" s="42" t="n">
        <f aca="false">Supuestos!$B$17*V23*Supuestos!$B$2</f>
        <v>1.1375</v>
      </c>
    </row>
    <row r="24" customFormat="false" ht="15" hidden="false" customHeight="false" outlineLevel="0" collapsed="false">
      <c r="A24" s="23" t="n">
        <v>20</v>
      </c>
      <c r="B24" s="23" t="s">
        <v>200</v>
      </c>
      <c r="C24" s="21" t="s">
        <v>208</v>
      </c>
      <c r="D24" s="23" t="s">
        <v>202</v>
      </c>
      <c r="E24" s="5" t="s">
        <v>209</v>
      </c>
      <c r="F24" s="5" t="s">
        <v>210</v>
      </c>
      <c r="G24" s="29" t="s">
        <v>88</v>
      </c>
      <c r="H24" s="28" t="n">
        <v>2</v>
      </c>
      <c r="I24" s="28" t="n">
        <v>1</v>
      </c>
      <c r="J24" s="6" t="n">
        <f aca="false">INDEX(Supuestos!$B$28:$B$31,MATCH(G24,Supuestos!$A$28:$A$31,0))</f>
        <v>16</v>
      </c>
      <c r="K24" s="10" t="n">
        <f aca="false">J24*INDEX(Supuestos!$F$28:$F$31,MATCH(G24,Supuestos!$A$28:$A$31,0))</f>
        <v>6.4</v>
      </c>
      <c r="L24" s="10" t="n">
        <f aca="false">J24*INDEX(Supuestos!$G$28:$G$31,MATCH(G24,Supuestos!$A$28:$A$31,0))</f>
        <v>5.6</v>
      </c>
      <c r="M24" s="10" t="n">
        <f aca="false">J24*INDEX(Supuestos!$H$28:$H$31,MATCH(G24,Supuestos!$A$28:$A$31,0))</f>
        <v>4</v>
      </c>
      <c r="N24" s="10" t="n">
        <f aca="false">I24*Supuestos!$B$5</f>
        <v>6</v>
      </c>
      <c r="O24" s="40" t="n">
        <f aca="false">Supuestos!$B$18</f>
        <v>1</v>
      </c>
      <c r="P24" s="9" t="n">
        <f aca="false">J24+N24+O24</f>
        <v>23</v>
      </c>
      <c r="Q24" s="20" t="n">
        <f aca="false">K24*Supuestos!$B$36+L24*Supuestos!$B$39+M24*Supuestos!$B$40</f>
        <v>1280</v>
      </c>
      <c r="R24" s="20" t="n">
        <f aca="false">N24*Supuestos!$B$37</f>
        <v>480</v>
      </c>
      <c r="S24" s="20" t="n">
        <f aca="false">O24*Supuestos!$B$38</f>
        <v>80</v>
      </c>
      <c r="T24" s="14" t="n">
        <f aca="false">Q24+R24+S24</f>
        <v>1840</v>
      </c>
      <c r="U24" s="6" t="n">
        <f aca="false">INDEX(Supuestos!$E$28:$E$31,MATCH(G24,Supuestos!$A$28:$A$31,0))</f>
        <v>60</v>
      </c>
      <c r="V24" s="41" t="n">
        <f aca="false">(INDEX(Supuestos!$C$28:$C$31,MATCH(G24,Supuestos!$A$28:$A$31,0))*Supuestos!$B$13+INDEX(Supuestos!$D$28:$D$31,MATCH(G24,Supuestos!$A$28:$A$31,0))*Supuestos!$B$14)/1000000</f>
        <v>0.0005</v>
      </c>
      <c r="W24" s="42" t="n">
        <f aca="false">U24*Supuestos!$B$8*V24*Supuestos!$B$2</f>
        <v>0.2625</v>
      </c>
      <c r="X24" s="42" t="n">
        <f aca="false">U24*Supuestos!$B$8*(INDEX(Supuestos!$C$28:$C$31,MATCH(G24,Supuestos!$A$28:$A$31,0))*Supuestos!$B$22+INDEX(Supuestos!$D$28:$D$31,MATCH(G24,Supuestos!$A$28:$A$31,0))*Supuestos!$C$22)/1000000*Supuestos!$B$2</f>
        <v>2.625</v>
      </c>
      <c r="Y24" s="42" t="n">
        <f aca="false">Supuestos!$B$17*V24*Supuestos!$B$2</f>
        <v>0.875</v>
      </c>
    </row>
    <row r="25" customFormat="false" ht="23.85" hidden="false" customHeight="false" outlineLevel="0" collapsed="false">
      <c r="A25" s="23" t="n">
        <v>21</v>
      </c>
      <c r="B25" s="23" t="s">
        <v>200</v>
      </c>
      <c r="C25" s="21" t="s">
        <v>211</v>
      </c>
      <c r="D25" s="23" t="s">
        <v>212</v>
      </c>
      <c r="E25" s="5" t="s">
        <v>213</v>
      </c>
      <c r="F25" s="5" t="s">
        <v>214</v>
      </c>
      <c r="G25" s="29" t="s">
        <v>90</v>
      </c>
      <c r="H25" s="28" t="n">
        <v>2</v>
      </c>
      <c r="I25" s="28" t="n">
        <v>1</v>
      </c>
      <c r="J25" s="6" t="n">
        <f aca="false">INDEX(Supuestos!$B$28:$B$31,MATCH(G25,Supuestos!$A$28:$A$31,0))</f>
        <v>24</v>
      </c>
      <c r="K25" s="10" t="n">
        <f aca="false">J25*INDEX(Supuestos!$F$28:$F$31,MATCH(G25,Supuestos!$A$28:$A$31,0))</f>
        <v>10.8</v>
      </c>
      <c r="L25" s="10" t="n">
        <f aca="false">J25*INDEX(Supuestos!$G$28:$G$31,MATCH(G25,Supuestos!$A$28:$A$31,0))</f>
        <v>7.2</v>
      </c>
      <c r="M25" s="10" t="n">
        <f aca="false">J25*INDEX(Supuestos!$H$28:$H$31,MATCH(G25,Supuestos!$A$28:$A$31,0))</f>
        <v>6</v>
      </c>
      <c r="N25" s="10" t="n">
        <f aca="false">I25*Supuestos!$B$5</f>
        <v>6</v>
      </c>
      <c r="O25" s="40" t="n">
        <f aca="false">Supuestos!$B$18</f>
        <v>1</v>
      </c>
      <c r="P25" s="9" t="n">
        <f aca="false">J25+N25+O25</f>
        <v>31</v>
      </c>
      <c r="Q25" s="20" t="n">
        <f aca="false">K25*Supuestos!$B$36+L25*Supuestos!$B$39+M25*Supuestos!$B$40</f>
        <v>1920</v>
      </c>
      <c r="R25" s="20" t="n">
        <f aca="false">N25*Supuestos!$B$37</f>
        <v>480</v>
      </c>
      <c r="S25" s="20" t="n">
        <f aca="false">O25*Supuestos!$B$38</f>
        <v>80</v>
      </c>
      <c r="T25" s="14" t="n">
        <f aca="false">Q25+R25+S25</f>
        <v>2480</v>
      </c>
      <c r="U25" s="6" t="n">
        <f aca="false">INDEX(Supuestos!$E$28:$E$31,MATCH(G25,Supuestos!$A$28:$A$31,0))</f>
        <v>80</v>
      </c>
      <c r="V25" s="41" t="n">
        <f aca="false">(INDEX(Supuestos!$C$28:$C$31,MATCH(G25,Supuestos!$A$28:$A$31,0))*Supuestos!$B$13+INDEX(Supuestos!$D$28:$D$31,MATCH(G25,Supuestos!$A$28:$A$31,0))*Supuestos!$B$14)/1000000</f>
        <v>0.00065</v>
      </c>
      <c r="W25" s="42" t="n">
        <f aca="false">U25*Supuestos!$B$8*V25*Supuestos!$B$2</f>
        <v>0.455</v>
      </c>
      <c r="X25" s="42" t="n">
        <f aca="false">U25*Supuestos!$B$8*(INDEX(Supuestos!$C$28:$C$31,MATCH(G25,Supuestos!$A$28:$A$31,0))*Supuestos!$B$22+INDEX(Supuestos!$D$28:$D$31,MATCH(G25,Supuestos!$A$28:$A$31,0))*Supuestos!$C$22)/1000000*Supuestos!$B$2</f>
        <v>4.55</v>
      </c>
      <c r="Y25" s="42" t="n">
        <f aca="false">Supuestos!$B$17*V25*Supuestos!$B$2</f>
        <v>1.1375</v>
      </c>
    </row>
    <row r="26" customFormat="false" ht="15" hidden="false" customHeight="false" outlineLevel="0" collapsed="false">
      <c r="A26" s="23" t="n">
        <v>22</v>
      </c>
      <c r="B26" s="23" t="s">
        <v>200</v>
      </c>
      <c r="C26" s="21" t="s">
        <v>215</v>
      </c>
      <c r="D26" s="23" t="s">
        <v>212</v>
      </c>
      <c r="E26" s="5" t="s">
        <v>216</v>
      </c>
      <c r="F26" s="5" t="s">
        <v>217</v>
      </c>
      <c r="G26" s="29" t="s">
        <v>88</v>
      </c>
      <c r="H26" s="28" t="n">
        <v>2</v>
      </c>
      <c r="I26" s="28" t="n">
        <v>1</v>
      </c>
      <c r="J26" s="6" t="n">
        <f aca="false">INDEX(Supuestos!$B$28:$B$31,MATCH(G26,Supuestos!$A$28:$A$31,0))</f>
        <v>16</v>
      </c>
      <c r="K26" s="10" t="n">
        <f aca="false">J26*INDEX(Supuestos!$F$28:$F$31,MATCH(G26,Supuestos!$A$28:$A$31,0))</f>
        <v>6.4</v>
      </c>
      <c r="L26" s="10" t="n">
        <f aca="false">J26*INDEX(Supuestos!$G$28:$G$31,MATCH(G26,Supuestos!$A$28:$A$31,0))</f>
        <v>5.6</v>
      </c>
      <c r="M26" s="10" t="n">
        <f aca="false">J26*INDEX(Supuestos!$H$28:$H$31,MATCH(G26,Supuestos!$A$28:$A$31,0))</f>
        <v>4</v>
      </c>
      <c r="N26" s="10" t="n">
        <f aca="false">I26*Supuestos!$B$5</f>
        <v>6</v>
      </c>
      <c r="O26" s="40" t="n">
        <f aca="false">Supuestos!$B$18</f>
        <v>1</v>
      </c>
      <c r="P26" s="9" t="n">
        <f aca="false">J26+N26+O26</f>
        <v>23</v>
      </c>
      <c r="Q26" s="20" t="n">
        <f aca="false">K26*Supuestos!$B$36+L26*Supuestos!$B$39+M26*Supuestos!$B$40</f>
        <v>1280</v>
      </c>
      <c r="R26" s="20" t="n">
        <f aca="false">N26*Supuestos!$B$37</f>
        <v>480</v>
      </c>
      <c r="S26" s="20" t="n">
        <f aca="false">O26*Supuestos!$B$38</f>
        <v>80</v>
      </c>
      <c r="T26" s="14" t="n">
        <f aca="false">Q26+R26+S26</f>
        <v>1840</v>
      </c>
      <c r="U26" s="6" t="n">
        <f aca="false">INDEX(Supuestos!$E$28:$E$31,MATCH(G26,Supuestos!$A$28:$A$31,0))</f>
        <v>60</v>
      </c>
      <c r="V26" s="41" t="n">
        <f aca="false">(INDEX(Supuestos!$C$28:$C$31,MATCH(G26,Supuestos!$A$28:$A$31,0))*Supuestos!$B$13+INDEX(Supuestos!$D$28:$D$31,MATCH(G26,Supuestos!$A$28:$A$31,0))*Supuestos!$B$14)/1000000</f>
        <v>0.0005</v>
      </c>
      <c r="W26" s="42" t="n">
        <f aca="false">U26*Supuestos!$B$8*V26*Supuestos!$B$2</f>
        <v>0.2625</v>
      </c>
      <c r="X26" s="42" t="n">
        <f aca="false">U26*Supuestos!$B$8*(INDEX(Supuestos!$C$28:$C$31,MATCH(G26,Supuestos!$A$28:$A$31,0))*Supuestos!$B$22+INDEX(Supuestos!$D$28:$D$31,MATCH(G26,Supuestos!$A$28:$A$31,0))*Supuestos!$C$22)/1000000*Supuestos!$B$2</f>
        <v>2.625</v>
      </c>
      <c r="Y26" s="42" t="n">
        <f aca="false">Supuestos!$B$17*V26*Supuestos!$B$2</f>
        <v>0.875</v>
      </c>
    </row>
    <row r="27" customFormat="false" ht="15" hidden="false" customHeight="false" outlineLevel="0" collapsed="false">
      <c r="C27" s="43" t="s">
        <v>218</v>
      </c>
      <c r="I27" s="44" t="n">
        <f aca="false">SUM(I5:I26)</f>
        <v>13</v>
      </c>
      <c r="J27" s="44" t="n">
        <f aca="false">SUM(J5:J26)</f>
        <v>360</v>
      </c>
      <c r="K27" s="44" t="n">
        <f aca="false">SUM(K5:K26)</f>
        <v>148.4</v>
      </c>
      <c r="L27" s="44" t="n">
        <f aca="false">SUM(L5:L26)</f>
        <v>121.6</v>
      </c>
      <c r="M27" s="44" t="n">
        <f aca="false">SUM(M5:M26)</f>
        <v>90</v>
      </c>
      <c r="N27" s="44" t="n">
        <f aca="false">SUM(N5:N26)</f>
        <v>78</v>
      </c>
      <c r="O27" s="44" t="n">
        <f aca="false">SUM(O5:O26)</f>
        <v>22</v>
      </c>
      <c r="P27" s="44" t="n">
        <f aca="false">SUM(P5:P26)</f>
        <v>460</v>
      </c>
      <c r="Q27" s="45" t="n">
        <f aca="false">SUM(Q5:Q26)</f>
        <v>28800</v>
      </c>
      <c r="R27" s="45" t="n">
        <f aca="false">SUM(R5:R26)</f>
        <v>6240</v>
      </c>
      <c r="S27" s="45" t="n">
        <f aca="false">SUM(S5:S26)</f>
        <v>1760</v>
      </c>
      <c r="T27" s="45" t="n">
        <f aca="false">SUM(T5:T26)</f>
        <v>36800</v>
      </c>
      <c r="U27" s="44" t="n">
        <f aca="false">SUM(U5:U26)</f>
        <v>1340</v>
      </c>
      <c r="W27" s="46" t="n">
        <f aca="false">SUM(W5:W26)</f>
        <v>6.2825</v>
      </c>
      <c r="X27" s="46" t="n">
        <f aca="false">SUM(X5:X26)</f>
        <v>62.825</v>
      </c>
      <c r="Y27" s="46" t="n">
        <f aca="false">SUM(Y5:Y26)</f>
        <v>20.0375</v>
      </c>
    </row>
  </sheetData>
  <dataValidations count="2">
    <dataValidation allowBlank="false" errorStyle="stop" operator="between" showDropDown="false" showErrorMessage="false" showInputMessage="false" sqref="G5:G26" type="list">
      <formula1>"S,M,L,XL"</formula1>
      <formula2>0</formula2>
    </dataValidation>
    <dataValidation allowBlank="false" errorStyle="stop" operator="between" showDropDown="false" showErrorMessage="false" showInputMessage="false" sqref="H5:H26" type="list">
      <formula1>"1,2"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4"/>
    <col collapsed="false" customWidth="true" hidden="false" outlineLevel="0" max="12" min="12" style="0" width="56"/>
  </cols>
  <sheetData>
    <row r="1" customFormat="false" ht="17.35" hidden="false" customHeight="false" outlineLevel="0" collapsed="false">
      <c r="A1" s="1" t="s">
        <v>219</v>
      </c>
    </row>
    <row r="2" customFormat="false" ht="15" hidden="false" customHeight="false" outlineLevel="0" collapsed="false">
      <c r="A2" s="2" t="s">
        <v>220</v>
      </c>
    </row>
    <row r="4" customFormat="false" ht="43.5" hidden="false" customHeight="true" outlineLevel="0" collapsed="false">
      <c r="A4" s="32" t="s">
        <v>221</v>
      </c>
      <c r="B4" s="32" t="s">
        <v>222</v>
      </c>
      <c r="C4" s="32" t="s">
        <v>223</v>
      </c>
      <c r="D4" s="32" t="s">
        <v>125</v>
      </c>
      <c r="E4" s="32" t="s">
        <v>127</v>
      </c>
      <c r="F4" s="32" t="s">
        <v>224</v>
      </c>
      <c r="G4" s="32" t="s">
        <v>131</v>
      </c>
      <c r="H4" s="32" t="s">
        <v>225</v>
      </c>
      <c r="I4" s="32" t="s">
        <v>226</v>
      </c>
      <c r="J4" s="32" t="s">
        <v>227</v>
      </c>
      <c r="K4" s="32" t="s">
        <v>228</v>
      </c>
      <c r="L4" s="32" t="s">
        <v>229</v>
      </c>
    </row>
    <row r="5" customFormat="false" ht="15" hidden="false" customHeight="false" outlineLevel="0" collapsed="false">
      <c r="A5" s="5" t="s">
        <v>230</v>
      </c>
      <c r="B5" s="23" t="s">
        <v>231</v>
      </c>
      <c r="C5" s="23" t="s">
        <v>232</v>
      </c>
      <c r="D5" s="28" t="n">
        <v>1</v>
      </c>
      <c r="E5" s="27" t="n">
        <v>28</v>
      </c>
      <c r="F5" s="27" t="n">
        <v>8</v>
      </c>
      <c r="G5" s="27" t="n">
        <v>0</v>
      </c>
      <c r="H5" s="27" t="n">
        <v>2</v>
      </c>
      <c r="I5" s="27" t="n">
        <v>2</v>
      </c>
      <c r="J5" s="47" t="n">
        <f aca="false">SUM(E5:I5)</f>
        <v>40</v>
      </c>
      <c r="K5" s="20" t="n">
        <f aca="false">E5*Supuestos!$B$36+F5*Supuestos!$B$37+G5*Supuestos!$B$38+H5*Supuestos!$B$39+I5*Supuestos!$B$40</f>
        <v>3200</v>
      </c>
      <c r="L5" s="48"/>
    </row>
    <row r="6" customFormat="false" ht="15" hidden="false" customHeight="false" outlineLevel="0" collapsed="false">
      <c r="A6" s="5" t="s">
        <v>233</v>
      </c>
      <c r="B6" s="23" t="s">
        <v>231</v>
      </c>
      <c r="C6" s="23" t="s">
        <v>232</v>
      </c>
      <c r="D6" s="28" t="n">
        <v>1</v>
      </c>
      <c r="E6" s="27" t="n">
        <v>54</v>
      </c>
      <c r="F6" s="27" t="n">
        <v>0</v>
      </c>
      <c r="G6" s="27" t="n">
        <v>0</v>
      </c>
      <c r="H6" s="27" t="n">
        <v>0</v>
      </c>
      <c r="I6" s="27" t="n">
        <v>6</v>
      </c>
      <c r="J6" s="47" t="n">
        <f aca="false">SUM(E6:I6)</f>
        <v>60</v>
      </c>
      <c r="K6" s="20" t="n">
        <f aca="false">E6*Supuestos!$B$36+F6*Supuestos!$B$37+G6*Supuestos!$B$38+H6*Supuestos!$B$39+I6*Supuestos!$B$40</f>
        <v>4800</v>
      </c>
      <c r="L6" s="48" t="s">
        <v>234</v>
      </c>
    </row>
    <row r="7" customFormat="false" ht="15" hidden="false" customHeight="false" outlineLevel="0" collapsed="false">
      <c r="A7" s="5" t="s">
        <v>235</v>
      </c>
      <c r="B7" s="23" t="s">
        <v>231</v>
      </c>
      <c r="C7" s="23" t="s">
        <v>232</v>
      </c>
      <c r="D7" s="28" t="n">
        <v>1</v>
      </c>
      <c r="E7" s="27" t="n">
        <v>24</v>
      </c>
      <c r="F7" s="27" t="n">
        <v>0</v>
      </c>
      <c r="G7" s="27" t="n">
        <v>0</v>
      </c>
      <c r="H7" s="27" t="n">
        <v>4</v>
      </c>
      <c r="I7" s="27" t="n">
        <v>2</v>
      </c>
      <c r="J7" s="47" t="n">
        <f aca="false">SUM(E7:I7)</f>
        <v>30</v>
      </c>
      <c r="K7" s="20" t="n">
        <f aca="false">E7*Supuestos!$B$36+F7*Supuestos!$B$37+G7*Supuestos!$B$38+H7*Supuestos!$B$39+I7*Supuestos!$B$40</f>
        <v>2400</v>
      </c>
      <c r="L7" s="48"/>
    </row>
    <row r="8" customFormat="false" ht="15" hidden="false" customHeight="false" outlineLevel="0" collapsed="false">
      <c r="A8" s="5" t="s">
        <v>236</v>
      </c>
      <c r="B8" s="23" t="s">
        <v>231</v>
      </c>
      <c r="C8" s="23" t="s">
        <v>232</v>
      </c>
      <c r="D8" s="28" t="n">
        <v>1</v>
      </c>
      <c r="E8" s="27" t="n">
        <v>20</v>
      </c>
      <c r="F8" s="27" t="n">
        <v>6</v>
      </c>
      <c r="G8" s="27" t="n">
        <v>0</v>
      </c>
      <c r="H8" s="27" t="n">
        <v>2</v>
      </c>
      <c r="I8" s="27" t="n">
        <v>2</v>
      </c>
      <c r="J8" s="47" t="n">
        <f aca="false">SUM(E8:I8)</f>
        <v>30</v>
      </c>
      <c r="K8" s="20" t="n">
        <f aca="false">E8*Supuestos!$B$36+F8*Supuestos!$B$37+G8*Supuestos!$B$38+H8*Supuestos!$B$39+I8*Supuestos!$B$40</f>
        <v>2400</v>
      </c>
      <c r="L8" s="48"/>
    </row>
    <row r="9" customFormat="false" ht="23.85" hidden="false" customHeight="false" outlineLevel="0" collapsed="false">
      <c r="A9" s="5" t="s">
        <v>237</v>
      </c>
      <c r="B9" s="23" t="s">
        <v>231</v>
      </c>
      <c r="C9" s="23" t="s">
        <v>232</v>
      </c>
      <c r="D9" s="28" t="n">
        <v>1</v>
      </c>
      <c r="E9" s="27" t="n">
        <v>6</v>
      </c>
      <c r="F9" s="27" t="n">
        <v>0</v>
      </c>
      <c r="G9" s="27" t="n">
        <v>0</v>
      </c>
      <c r="H9" s="27" t="n">
        <v>4</v>
      </c>
      <c r="I9" s="27" t="n">
        <v>2</v>
      </c>
      <c r="J9" s="47" t="n">
        <f aca="false">SUM(E9:I9)</f>
        <v>12</v>
      </c>
      <c r="K9" s="20" t="n">
        <f aca="false">E9*Supuestos!$B$36+F9*Supuestos!$B$37+G9*Supuestos!$B$38+H9*Supuestos!$B$39+I9*Supuestos!$B$40</f>
        <v>960</v>
      </c>
      <c r="L9" s="48" t="s">
        <v>238</v>
      </c>
    </row>
    <row r="10" customFormat="false" ht="15" hidden="false" customHeight="false" outlineLevel="0" collapsed="false">
      <c r="A10" s="5" t="s">
        <v>239</v>
      </c>
      <c r="B10" s="23" t="s">
        <v>231</v>
      </c>
      <c r="C10" s="23" t="s">
        <v>240</v>
      </c>
      <c r="D10" s="28" t="n">
        <v>1</v>
      </c>
      <c r="E10" s="27" t="n">
        <v>20</v>
      </c>
      <c r="F10" s="27" t="n">
        <v>0</v>
      </c>
      <c r="G10" s="27" t="n">
        <v>0</v>
      </c>
      <c r="H10" s="27" t="n">
        <v>8</v>
      </c>
      <c r="I10" s="27" t="n">
        <v>2</v>
      </c>
      <c r="J10" s="47" t="n">
        <f aca="false">SUM(E10:I10)</f>
        <v>30</v>
      </c>
      <c r="K10" s="20" t="n">
        <f aca="false">E10*Supuestos!$B$36+F10*Supuestos!$B$37+G10*Supuestos!$B$38+H10*Supuestos!$B$39+I10*Supuestos!$B$40</f>
        <v>2400</v>
      </c>
      <c r="L10" s="48"/>
    </row>
    <row r="11" customFormat="false" ht="15" hidden="false" customHeight="false" outlineLevel="0" collapsed="false">
      <c r="A11" s="5" t="s">
        <v>241</v>
      </c>
      <c r="B11" s="23" t="s">
        <v>242</v>
      </c>
      <c r="C11" s="23" t="s">
        <v>243</v>
      </c>
      <c r="D11" s="28" t="n">
        <v>1</v>
      </c>
      <c r="E11" s="27" t="n">
        <v>0</v>
      </c>
      <c r="F11" s="27" t="n">
        <v>30</v>
      </c>
      <c r="G11" s="27" t="n">
        <v>0</v>
      </c>
      <c r="H11" s="27" t="n">
        <v>0</v>
      </c>
      <c r="I11" s="27" t="n">
        <v>0</v>
      </c>
      <c r="J11" s="47" t="n">
        <f aca="false">SUM(E11:I11)</f>
        <v>30</v>
      </c>
      <c r="K11" s="20" t="n">
        <f aca="false">E11*Supuestos!$B$36+F11*Supuestos!$B$37+G11*Supuestos!$B$38+H11*Supuestos!$B$39+I11*Supuestos!$B$40</f>
        <v>2400</v>
      </c>
      <c r="L11" s="48" t="s">
        <v>244</v>
      </c>
    </row>
    <row r="12" customFormat="false" ht="15" hidden="false" customHeight="false" outlineLevel="0" collapsed="false">
      <c r="A12" s="5" t="s">
        <v>245</v>
      </c>
      <c r="B12" s="23" t="s">
        <v>242</v>
      </c>
      <c r="C12" s="23" t="s">
        <v>243</v>
      </c>
      <c r="D12" s="28" t="n">
        <v>1</v>
      </c>
      <c r="E12" s="27" t="n">
        <v>4</v>
      </c>
      <c r="F12" s="27" t="n">
        <v>16</v>
      </c>
      <c r="G12" s="27" t="n">
        <v>0</v>
      </c>
      <c r="H12" s="27" t="n">
        <v>0</v>
      </c>
      <c r="I12" s="27" t="n">
        <v>0</v>
      </c>
      <c r="J12" s="47" t="n">
        <f aca="false">SUM(E12:I12)</f>
        <v>20</v>
      </c>
      <c r="K12" s="20" t="n">
        <f aca="false">E12*Supuestos!$B$36+F12*Supuestos!$B$37+G12*Supuestos!$B$38+H12*Supuestos!$B$39+I12*Supuestos!$B$40</f>
        <v>1600</v>
      </c>
      <c r="L12" s="48" t="s">
        <v>246</v>
      </c>
    </row>
    <row r="13" customFormat="false" ht="15" hidden="false" customHeight="false" outlineLevel="0" collapsed="false">
      <c r="A13" s="5" t="s">
        <v>247</v>
      </c>
      <c r="B13" s="23" t="s">
        <v>242</v>
      </c>
      <c r="C13" s="23" t="s">
        <v>243</v>
      </c>
      <c r="D13" s="28" t="n">
        <v>1</v>
      </c>
      <c r="E13" s="27" t="n">
        <v>3</v>
      </c>
      <c r="F13" s="27" t="n">
        <v>10</v>
      </c>
      <c r="G13" s="27" t="n">
        <v>0</v>
      </c>
      <c r="H13" s="27" t="n">
        <v>0</v>
      </c>
      <c r="I13" s="27" t="n">
        <v>2</v>
      </c>
      <c r="J13" s="47" t="n">
        <f aca="false">SUM(E13:I13)</f>
        <v>15</v>
      </c>
      <c r="K13" s="20" t="n">
        <f aca="false">E13*Supuestos!$B$36+F13*Supuestos!$B$37+G13*Supuestos!$B$38+H13*Supuestos!$B$39+I13*Supuestos!$B$40</f>
        <v>1200</v>
      </c>
      <c r="L13" s="48" t="s">
        <v>246</v>
      </c>
    </row>
    <row r="14" customFormat="false" ht="15" hidden="false" customHeight="false" outlineLevel="0" collapsed="false">
      <c r="A14" s="5" t="s">
        <v>248</v>
      </c>
      <c r="B14" s="23" t="s">
        <v>102</v>
      </c>
      <c r="C14" s="23" t="s">
        <v>102</v>
      </c>
      <c r="D14" s="28" t="n">
        <v>1</v>
      </c>
      <c r="E14" s="27" t="n">
        <v>2</v>
      </c>
      <c r="F14" s="27" t="n">
        <v>0</v>
      </c>
      <c r="G14" s="27" t="n">
        <v>13</v>
      </c>
      <c r="H14" s="27" t="n">
        <v>0</v>
      </c>
      <c r="I14" s="27" t="n">
        <v>0</v>
      </c>
      <c r="J14" s="47" t="n">
        <f aca="false">SUM(E14:I14)</f>
        <v>15</v>
      </c>
      <c r="K14" s="20" t="n">
        <f aca="false">E14*Supuestos!$B$36+F14*Supuestos!$B$37+G14*Supuestos!$B$38+H14*Supuestos!$B$39+I14*Supuestos!$B$40</f>
        <v>1200</v>
      </c>
      <c r="L14" s="48" t="s">
        <v>246</v>
      </c>
    </row>
    <row r="15" customFormat="false" ht="15" hidden="false" customHeight="false" outlineLevel="0" collapsed="false">
      <c r="A15" s="5" t="s">
        <v>249</v>
      </c>
      <c r="B15" s="23" t="s">
        <v>250</v>
      </c>
      <c r="C15" s="23" t="s">
        <v>251</v>
      </c>
      <c r="D15" s="28" t="n">
        <v>1</v>
      </c>
      <c r="E15" s="27" t="n">
        <v>14</v>
      </c>
      <c r="F15" s="27" t="n">
        <v>0</v>
      </c>
      <c r="G15" s="27" t="n">
        <v>0</v>
      </c>
      <c r="H15" s="27" t="n">
        <v>4</v>
      </c>
      <c r="I15" s="27" t="n">
        <v>2</v>
      </c>
      <c r="J15" s="47" t="n">
        <f aca="false">SUM(E15:I15)</f>
        <v>20</v>
      </c>
      <c r="K15" s="20" t="n">
        <f aca="false">E15*Supuestos!$B$36+F15*Supuestos!$B$37+G15*Supuestos!$B$38+H15*Supuestos!$B$39+I15*Supuestos!$B$40</f>
        <v>1600</v>
      </c>
      <c r="L15" s="48"/>
    </row>
    <row r="16" customFormat="false" ht="15" hidden="false" customHeight="false" outlineLevel="0" collapsed="false">
      <c r="A16" s="5" t="s">
        <v>252</v>
      </c>
      <c r="B16" s="23" t="s">
        <v>250</v>
      </c>
      <c r="C16" s="23" t="s">
        <v>251</v>
      </c>
      <c r="D16" s="28" t="n">
        <v>1</v>
      </c>
      <c r="E16" s="27" t="n">
        <v>0</v>
      </c>
      <c r="F16" s="27" t="n">
        <v>10</v>
      </c>
      <c r="G16" s="27" t="n">
        <v>0</v>
      </c>
      <c r="H16" s="27" t="n">
        <v>0</v>
      </c>
      <c r="I16" s="27" t="n">
        <v>0</v>
      </c>
      <c r="J16" s="47" t="n">
        <f aca="false">SUM(E16:I16)</f>
        <v>10</v>
      </c>
      <c r="K16" s="20" t="n">
        <f aca="false">E16*Supuestos!$B$36+F16*Supuestos!$B$37+G16*Supuestos!$B$38+H16*Supuestos!$B$39+I16*Supuestos!$B$40</f>
        <v>800</v>
      </c>
      <c r="L16" s="48" t="s">
        <v>246</v>
      </c>
    </row>
    <row r="17" customFormat="false" ht="15" hidden="false" customHeight="false" outlineLevel="0" collapsed="false">
      <c r="A17" s="5" t="s">
        <v>253</v>
      </c>
      <c r="B17" s="23" t="s">
        <v>254</v>
      </c>
      <c r="C17" s="23" t="s">
        <v>254</v>
      </c>
      <c r="D17" s="28" t="n">
        <v>1</v>
      </c>
      <c r="E17" s="27" t="n">
        <v>4</v>
      </c>
      <c r="F17" s="27" t="n">
        <v>0</v>
      </c>
      <c r="G17" s="27" t="n">
        <v>0</v>
      </c>
      <c r="H17" s="27" t="n">
        <v>6</v>
      </c>
      <c r="I17" s="27" t="n">
        <v>10</v>
      </c>
      <c r="J17" s="47" t="n">
        <f aca="false">SUM(E17:I17)</f>
        <v>20</v>
      </c>
      <c r="K17" s="20" t="n">
        <f aca="false">E17*Supuestos!$B$36+F17*Supuestos!$B$37+G17*Supuestos!$B$38+H17*Supuestos!$B$39+I17*Supuestos!$B$40</f>
        <v>1600</v>
      </c>
      <c r="L17" s="48"/>
    </row>
    <row r="18" customFormat="false" ht="15" hidden="false" customHeight="false" outlineLevel="0" collapsed="false">
      <c r="A18" s="5" t="s">
        <v>255</v>
      </c>
      <c r="B18" s="23" t="s">
        <v>256</v>
      </c>
      <c r="C18" s="23" t="s">
        <v>257</v>
      </c>
      <c r="D18" s="28" t="n">
        <v>1</v>
      </c>
      <c r="E18" s="27" t="n">
        <v>18</v>
      </c>
      <c r="F18" s="27" t="n">
        <v>0</v>
      </c>
      <c r="G18" s="27" t="n">
        <v>0</v>
      </c>
      <c r="H18" s="27" t="n">
        <v>0</v>
      </c>
      <c r="I18" s="27" t="n">
        <v>2</v>
      </c>
      <c r="J18" s="47" t="n">
        <f aca="false">SUM(E18:I18)</f>
        <v>20</v>
      </c>
      <c r="K18" s="20" t="n">
        <f aca="false">E18*Supuestos!$B$36+F18*Supuestos!$B$37+G18*Supuestos!$B$38+H18*Supuestos!$B$39+I18*Supuestos!$B$40</f>
        <v>1600</v>
      </c>
      <c r="L18" s="48" t="s">
        <v>258</v>
      </c>
    </row>
    <row r="19" customFormat="false" ht="15" hidden="false" customHeight="false" outlineLevel="0" collapsed="false">
      <c r="A19" s="5" t="s">
        <v>259</v>
      </c>
      <c r="B19" s="23" t="s">
        <v>256</v>
      </c>
      <c r="C19" s="23" t="s">
        <v>257</v>
      </c>
      <c r="D19" s="28" t="n">
        <v>2</v>
      </c>
      <c r="E19" s="27" t="n">
        <v>22</v>
      </c>
      <c r="F19" s="27" t="n">
        <v>0</v>
      </c>
      <c r="G19" s="27" t="n">
        <v>0</v>
      </c>
      <c r="H19" s="27" t="n">
        <v>0</v>
      </c>
      <c r="I19" s="27" t="n">
        <v>3</v>
      </c>
      <c r="J19" s="47" t="n">
        <f aca="false">SUM(E19:I19)</f>
        <v>25</v>
      </c>
      <c r="K19" s="20" t="n">
        <f aca="false">E19*Supuestos!$B$36+F19*Supuestos!$B$37+G19*Supuestos!$B$38+H19*Supuestos!$B$39+I19*Supuestos!$B$40</f>
        <v>2000</v>
      </c>
      <c r="L19" s="48"/>
    </row>
    <row r="20" customFormat="false" ht="15" hidden="false" customHeight="false" outlineLevel="0" collapsed="false">
      <c r="A20" s="5" t="s">
        <v>260</v>
      </c>
      <c r="B20" s="23" t="s">
        <v>256</v>
      </c>
      <c r="C20" s="23" t="s">
        <v>257</v>
      </c>
      <c r="D20" s="28" t="n">
        <v>2</v>
      </c>
      <c r="E20" s="27" t="n">
        <v>27</v>
      </c>
      <c r="F20" s="27" t="n">
        <v>0</v>
      </c>
      <c r="G20" s="27" t="n">
        <v>0</v>
      </c>
      <c r="H20" s="27" t="n">
        <v>0</v>
      </c>
      <c r="I20" s="27" t="n">
        <v>3</v>
      </c>
      <c r="J20" s="47" t="n">
        <f aca="false">SUM(E20:I20)</f>
        <v>30</v>
      </c>
      <c r="K20" s="20" t="n">
        <f aca="false">E20*Supuestos!$B$36+F20*Supuestos!$B$37+G20*Supuestos!$B$38+H20*Supuestos!$B$39+I20*Supuestos!$B$40</f>
        <v>2400</v>
      </c>
      <c r="L20" s="48" t="s">
        <v>261</v>
      </c>
    </row>
    <row r="21" customFormat="false" ht="15" hidden="false" customHeight="false" outlineLevel="0" collapsed="false">
      <c r="A21" s="5" t="s">
        <v>262</v>
      </c>
      <c r="B21" s="23" t="s">
        <v>256</v>
      </c>
      <c r="C21" s="23" t="s">
        <v>257</v>
      </c>
      <c r="D21" s="28" t="n">
        <v>2</v>
      </c>
      <c r="E21" s="27" t="n">
        <v>18</v>
      </c>
      <c r="F21" s="27" t="n">
        <v>5</v>
      </c>
      <c r="G21" s="27" t="n">
        <v>0</v>
      </c>
      <c r="H21" s="27" t="n">
        <v>0</v>
      </c>
      <c r="I21" s="27" t="n">
        <v>2</v>
      </c>
      <c r="J21" s="47" t="n">
        <f aca="false">SUM(E21:I21)</f>
        <v>25</v>
      </c>
      <c r="K21" s="20" t="n">
        <f aca="false">E21*Supuestos!$B$36+F21*Supuestos!$B$37+G21*Supuestos!$B$38+H21*Supuestos!$B$39+I21*Supuestos!$B$40</f>
        <v>2000</v>
      </c>
      <c r="L21" s="48" t="s">
        <v>263</v>
      </c>
    </row>
    <row r="22" customFormat="false" ht="15" hidden="false" customHeight="false" outlineLevel="0" collapsed="false">
      <c r="A22" s="5" t="s">
        <v>264</v>
      </c>
      <c r="B22" s="23" t="s">
        <v>256</v>
      </c>
      <c r="C22" s="23" t="s">
        <v>257</v>
      </c>
      <c r="D22" s="28" t="n">
        <v>2</v>
      </c>
      <c r="E22" s="27" t="n">
        <v>22</v>
      </c>
      <c r="F22" s="27" t="n">
        <v>0</v>
      </c>
      <c r="G22" s="27" t="n">
        <v>0</v>
      </c>
      <c r="H22" s="27" t="n">
        <v>0</v>
      </c>
      <c r="I22" s="27" t="n">
        <v>3</v>
      </c>
      <c r="J22" s="47" t="n">
        <f aca="false">SUM(E22:I22)</f>
        <v>25</v>
      </c>
      <c r="K22" s="20" t="n">
        <f aca="false">E22*Supuestos!$B$36+F22*Supuestos!$B$37+G22*Supuestos!$B$38+H22*Supuestos!$B$39+I22*Supuestos!$B$40</f>
        <v>2000</v>
      </c>
      <c r="L22" s="48"/>
    </row>
    <row r="23" customFormat="false" ht="15" hidden="false" customHeight="false" outlineLevel="0" collapsed="false">
      <c r="A23" s="5" t="s">
        <v>265</v>
      </c>
      <c r="B23" s="23" t="s">
        <v>256</v>
      </c>
      <c r="C23" s="23" t="s">
        <v>257</v>
      </c>
      <c r="D23" s="28" t="n">
        <v>2</v>
      </c>
      <c r="E23" s="27" t="n">
        <v>13</v>
      </c>
      <c r="F23" s="27" t="n">
        <v>0</v>
      </c>
      <c r="G23" s="27" t="n">
        <v>0</v>
      </c>
      <c r="H23" s="27" t="n">
        <v>0</v>
      </c>
      <c r="I23" s="27" t="n">
        <v>2</v>
      </c>
      <c r="J23" s="47" t="n">
        <f aca="false">SUM(E23:I23)</f>
        <v>15</v>
      </c>
      <c r="K23" s="20" t="n">
        <f aca="false">E23*Supuestos!$B$36+F23*Supuestos!$B$37+G23*Supuestos!$B$38+H23*Supuestos!$B$39+I23*Supuestos!$B$40</f>
        <v>1200</v>
      </c>
      <c r="L23" s="48"/>
    </row>
    <row r="24" customFormat="false" ht="15" hidden="false" customHeight="false" outlineLevel="0" collapsed="false">
      <c r="A24" s="5" t="s">
        <v>266</v>
      </c>
      <c r="B24" s="23" t="s">
        <v>256</v>
      </c>
      <c r="C24" s="23" t="s">
        <v>257</v>
      </c>
      <c r="D24" s="28" t="n">
        <v>2</v>
      </c>
      <c r="E24" s="27" t="n">
        <v>12</v>
      </c>
      <c r="F24" s="27" t="n">
        <v>1</v>
      </c>
      <c r="G24" s="27" t="n">
        <v>0</v>
      </c>
      <c r="H24" s="27" t="n">
        <v>0</v>
      </c>
      <c r="I24" s="27" t="n">
        <v>2</v>
      </c>
      <c r="J24" s="47" t="n">
        <f aca="false">SUM(E24:I24)</f>
        <v>15</v>
      </c>
      <c r="K24" s="20" t="n">
        <f aca="false">E24*Supuestos!$B$36+F24*Supuestos!$B$37+G24*Supuestos!$B$38+H24*Supuestos!$B$39+I24*Supuestos!$B$40</f>
        <v>1200</v>
      </c>
      <c r="L24" s="48"/>
    </row>
    <row r="25" customFormat="false" ht="15" hidden="false" customHeight="false" outlineLevel="0" collapsed="false">
      <c r="A25" s="5" t="s">
        <v>267</v>
      </c>
      <c r="B25" s="23" t="s">
        <v>256</v>
      </c>
      <c r="C25" s="23" t="s">
        <v>257</v>
      </c>
      <c r="D25" s="28" t="n">
        <v>2</v>
      </c>
      <c r="E25" s="27" t="n">
        <v>22</v>
      </c>
      <c r="F25" s="27" t="n">
        <v>0</v>
      </c>
      <c r="G25" s="27" t="n">
        <v>0</v>
      </c>
      <c r="H25" s="27" t="n">
        <v>0</v>
      </c>
      <c r="I25" s="27" t="n">
        <v>3</v>
      </c>
      <c r="J25" s="47" t="n">
        <f aca="false">SUM(E25:I25)</f>
        <v>25</v>
      </c>
      <c r="K25" s="20" t="n">
        <f aca="false">E25*Supuestos!$B$36+F25*Supuestos!$B$37+G25*Supuestos!$B$38+H25*Supuestos!$B$39+I25*Supuestos!$B$40</f>
        <v>2000</v>
      </c>
      <c r="L25" s="48"/>
    </row>
    <row r="26" customFormat="false" ht="15" hidden="false" customHeight="false" outlineLevel="0" collapsed="false">
      <c r="A26" s="43" t="s">
        <v>268</v>
      </c>
      <c r="E26" s="49" t="n">
        <f aca="false">SUM(E5:E25)</f>
        <v>333</v>
      </c>
      <c r="F26" s="49" t="n">
        <f aca="false">SUM(F5:F25)</f>
        <v>86</v>
      </c>
      <c r="G26" s="49" t="n">
        <f aca="false">SUM(G5:G25)</f>
        <v>13</v>
      </c>
      <c r="H26" s="49" t="n">
        <f aca="false">SUM(H5:H25)</f>
        <v>30</v>
      </c>
      <c r="I26" s="49" t="n">
        <f aca="false">SUM(I5:I25)</f>
        <v>50</v>
      </c>
      <c r="J26" s="49" t="n">
        <f aca="false">SUM(J5:J25)</f>
        <v>512</v>
      </c>
      <c r="K26" s="45" t="n">
        <f aca="false">SUM(K5:K25)</f>
        <v>40960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" t="s">
        <v>269</v>
      </c>
    </row>
    <row r="2" customFormat="false" ht="15" hidden="false" customHeight="false" outlineLevel="0" collapsed="false">
      <c r="A2" s="2" t="s">
        <v>270</v>
      </c>
    </row>
    <row r="4" customFormat="false" ht="15" hidden="false" customHeight="false" outlineLevel="0" collapsed="false">
      <c r="A4" s="50" t="s">
        <v>271</v>
      </c>
      <c r="B4" s="12"/>
      <c r="C4" s="12"/>
    </row>
    <row r="5" customFormat="false" ht="15" hidden="false" customHeight="false" outlineLevel="0" collapsed="false">
      <c r="A5" s="32" t="s">
        <v>272</v>
      </c>
      <c r="B5" s="32" t="s">
        <v>3</v>
      </c>
      <c r="C5" s="32" t="s">
        <v>4</v>
      </c>
    </row>
    <row r="6" customFormat="false" ht="15" hidden="false" customHeight="false" outlineLevel="0" collapsed="false">
      <c r="A6" s="23" t="s">
        <v>99</v>
      </c>
      <c r="B6" s="7" t="n">
        <f aca="false">SUMIFS('Motor y HAL'!$E$5:$E$25,'Motor y HAL'!$D$5:$D$25,"&lt;=1")+SUMIFS(Niveles!$K$5:$K$26,Niveles!$H$5:$H$26,"&lt;=1")</f>
        <v>214.6</v>
      </c>
      <c r="C6" s="7" t="n">
        <f aca="false">SUMIFS('Motor y HAL'!$E$5:$E$25,'Motor y HAL'!$D$5:$D$25,"&lt;=2")+SUMIFS(Niveles!$K$5:$K$26,Niveles!$H$5:$H$26,"&lt;=2")</f>
        <v>481.4</v>
      </c>
    </row>
    <row r="7" customFormat="false" ht="15" hidden="false" customHeight="false" outlineLevel="0" collapsed="false">
      <c r="A7" s="23" t="s">
        <v>101</v>
      </c>
      <c r="B7" s="7" t="n">
        <f aca="false">SUMIFS('Motor y HAL'!$F$5:$F$25,'Motor y HAL'!$D$5:$D$25,"&lt;=1")+SUMIFS(Niveles!$N$5:$N$26,Niveles!$H$5:$H$26,"&lt;=1")</f>
        <v>98</v>
      </c>
      <c r="C7" s="7" t="n">
        <f aca="false">SUMIFS('Motor y HAL'!$F$5:$F$25,'Motor y HAL'!$D$5:$D$25,"&lt;=2")+SUMIFS(Niveles!$N$5:$N$26,Niveles!$H$5:$H$26,"&lt;=2")</f>
        <v>164</v>
      </c>
    </row>
    <row r="8" customFormat="false" ht="15" hidden="false" customHeight="false" outlineLevel="0" collapsed="false">
      <c r="A8" s="23" t="s">
        <v>102</v>
      </c>
      <c r="B8" s="7" t="n">
        <f aca="false">SUMIFS('Motor y HAL'!$G$5:$G$25,'Motor y HAL'!$D$5:$D$25,"&lt;=1")+SUMIFS(Niveles!$O$5:$O$26,Niveles!$H$5:$H$26,"&lt;=1")</f>
        <v>18</v>
      </c>
      <c r="C8" s="7" t="n">
        <f aca="false">SUMIFS('Motor y HAL'!$G$5:$G$25,'Motor y HAL'!$D$5:$D$25,"&lt;=2")+SUMIFS(Niveles!$O$5:$O$26,Niveles!$H$5:$H$26,"&lt;=2")</f>
        <v>35</v>
      </c>
    </row>
    <row r="9" customFormat="false" ht="15" hidden="false" customHeight="false" outlineLevel="0" collapsed="false">
      <c r="A9" s="23" t="s">
        <v>103</v>
      </c>
      <c r="B9" s="7" t="n">
        <f aca="false">SUMIFS('Motor y HAL'!$H$5:$H$25,'Motor y HAL'!$D$5:$D$25,"&lt;=1")+SUMIFS(Niveles!$L$5:$L$26,Niveles!$H$5:$H$26,"&lt;=1")</f>
        <v>48.4</v>
      </c>
      <c r="C9" s="7" t="n">
        <f aca="false">SUMIFS('Motor y HAL'!$H$5:$H$25,'Motor y HAL'!$D$5:$D$25,"&lt;=2")+SUMIFS(Niveles!$L$5:$L$26,Niveles!$H$5:$H$26,"&lt;=2")</f>
        <v>151.6</v>
      </c>
    </row>
    <row r="10" customFormat="false" ht="15" hidden="false" customHeight="false" outlineLevel="0" collapsed="false">
      <c r="A10" s="23" t="s">
        <v>104</v>
      </c>
      <c r="B10" s="7" t="n">
        <f aca="false">SUMIFS('Motor y HAL'!$I$5:$I$25,'Motor y HAL'!$D$5:$D$25,"&lt;=1")+SUMIFS(Niveles!$M$5:$M$26,Niveles!$H$5:$H$26,"&lt;=1")</f>
        <v>44</v>
      </c>
      <c r="C10" s="7" t="n">
        <f aca="false">SUMIFS('Motor y HAL'!$I$5:$I$25,'Motor y HAL'!$D$5:$D$25,"&lt;=2")+SUMIFS(Niveles!$M$5:$M$26,Niveles!$H$5:$H$26,"&lt;=2")</f>
        <v>140</v>
      </c>
    </row>
    <row r="11" customFormat="false" ht="15" hidden="false" customHeight="false" outlineLevel="0" collapsed="false">
      <c r="A11" s="43" t="s">
        <v>273</v>
      </c>
      <c r="B11" s="51" t="n">
        <f aca="false">SUM(B6:B10)</f>
        <v>423</v>
      </c>
      <c r="C11" s="51" t="n">
        <f aca="false">SUM(C6:C10)</f>
        <v>972</v>
      </c>
    </row>
    <row r="12" customFormat="false" ht="15" hidden="false" customHeight="false" outlineLevel="0" collapsed="false">
      <c r="A12" s="2" t="s">
        <v>274</v>
      </c>
      <c r="B12" s="52" t="n">
        <f aca="false">(B7+B8)/B11</f>
        <v>0.274231678486998</v>
      </c>
      <c r="C12" s="52" t="n">
        <f aca="false">(C7+C8)/C11</f>
        <v>0.204732510288066</v>
      </c>
    </row>
    <row r="14" customFormat="false" ht="15" hidden="false" customHeight="false" outlineLevel="0" collapsed="false">
      <c r="A14" s="50" t="s">
        <v>275</v>
      </c>
      <c r="B14" s="12"/>
      <c r="C14" s="12"/>
      <c r="D14" s="12"/>
      <c r="E14" s="12"/>
    </row>
    <row r="15" customFormat="false" ht="23.85" hidden="false" customHeight="false" outlineLevel="0" collapsed="false">
      <c r="A15" s="32" t="s">
        <v>272</v>
      </c>
      <c r="B15" s="32" t="s">
        <v>276</v>
      </c>
      <c r="C15" s="32" t="s">
        <v>277</v>
      </c>
      <c r="D15" s="32" t="s">
        <v>278</v>
      </c>
      <c r="E15" s="32" t="s">
        <v>279</v>
      </c>
    </row>
    <row r="16" customFormat="false" ht="15" hidden="false" customHeight="false" outlineLevel="0" collapsed="false">
      <c r="A16" s="23" t="s">
        <v>99</v>
      </c>
      <c r="B16" s="20" t="n">
        <f aca="false">B6*Supuestos!$B$36</f>
        <v>17168</v>
      </c>
      <c r="C16" s="20" t="n">
        <f aca="false">C6*Supuestos!$B$36</f>
        <v>38512</v>
      </c>
      <c r="D16" s="20" t="n">
        <f aca="false">B16*(1+Supuestos!$B$6)*(1+Supuestos!$B$7)</f>
        <v>25666.16</v>
      </c>
      <c r="E16" s="20" t="n">
        <f aca="false">C16*(1+Supuestos!$B$6)*(1+Supuestos!$B$7)</f>
        <v>57575.44</v>
      </c>
    </row>
    <row r="17" customFormat="false" ht="15" hidden="false" customHeight="false" outlineLevel="0" collapsed="false">
      <c r="A17" s="23" t="s">
        <v>101</v>
      </c>
      <c r="B17" s="20" t="n">
        <f aca="false">B7*Supuestos!$B$37</f>
        <v>7840</v>
      </c>
      <c r="C17" s="20" t="n">
        <f aca="false">C7*Supuestos!$B$37</f>
        <v>13120</v>
      </c>
      <c r="D17" s="20" t="n">
        <f aca="false">B17*(1+Supuestos!$B$6)*(1+Supuestos!$B$7)</f>
        <v>11720.8</v>
      </c>
      <c r="E17" s="20" t="n">
        <f aca="false">C17*(1+Supuestos!$B$6)*(1+Supuestos!$B$7)</f>
        <v>19614.4</v>
      </c>
    </row>
    <row r="18" customFormat="false" ht="15" hidden="false" customHeight="false" outlineLevel="0" collapsed="false">
      <c r="A18" s="23" t="s">
        <v>102</v>
      </c>
      <c r="B18" s="20" t="n">
        <f aca="false">B8*Supuestos!$B$38</f>
        <v>1440</v>
      </c>
      <c r="C18" s="20" t="n">
        <f aca="false">C8*Supuestos!$B$38</f>
        <v>2800</v>
      </c>
      <c r="D18" s="20" t="n">
        <f aca="false">B18*(1+Supuestos!$B$6)*(1+Supuestos!$B$7)</f>
        <v>2152.8</v>
      </c>
      <c r="E18" s="20" t="n">
        <f aca="false">C18*(1+Supuestos!$B$6)*(1+Supuestos!$B$7)</f>
        <v>4186</v>
      </c>
    </row>
    <row r="19" customFormat="false" ht="15" hidden="false" customHeight="false" outlineLevel="0" collapsed="false">
      <c r="A19" s="23" t="s">
        <v>103</v>
      </c>
      <c r="B19" s="20" t="n">
        <f aca="false">B9*Supuestos!$B$39</f>
        <v>3872</v>
      </c>
      <c r="C19" s="20" t="n">
        <f aca="false">C9*Supuestos!$B$39</f>
        <v>12128</v>
      </c>
      <c r="D19" s="20" t="n">
        <f aca="false">B19*(1+Supuestos!$B$6)*(1+Supuestos!$B$7)</f>
        <v>5788.64</v>
      </c>
      <c r="E19" s="20" t="n">
        <f aca="false">C19*(1+Supuestos!$B$6)*(1+Supuestos!$B$7)</f>
        <v>18131.36</v>
      </c>
    </row>
    <row r="20" customFormat="false" ht="15" hidden="false" customHeight="false" outlineLevel="0" collapsed="false">
      <c r="A20" s="23" t="s">
        <v>104</v>
      </c>
      <c r="B20" s="20" t="n">
        <f aca="false">B10*Supuestos!$B$40</f>
        <v>3520</v>
      </c>
      <c r="C20" s="20" t="n">
        <f aca="false">C10*Supuestos!$B$40</f>
        <v>11200</v>
      </c>
      <c r="D20" s="20" t="n">
        <f aca="false">B20*(1+Supuestos!$B$6)*(1+Supuestos!$B$7)</f>
        <v>5262.4</v>
      </c>
      <c r="E20" s="20" t="n">
        <f aca="false">C20*(1+Supuestos!$B$6)*(1+Supuestos!$B$7)</f>
        <v>16744</v>
      </c>
    </row>
    <row r="21" customFormat="false" ht="15" hidden="false" customHeight="false" outlineLevel="0" collapsed="false">
      <c r="A21" s="21" t="s">
        <v>280</v>
      </c>
      <c r="B21" s="14" t="n">
        <f aca="false">SUM(B16:B20)</f>
        <v>33840</v>
      </c>
      <c r="C21" s="14" t="n">
        <f aca="false">SUM(C16:C20)</f>
        <v>77760</v>
      </c>
      <c r="D21" s="14" t="n">
        <f aca="false">SUM(D16:D20)</f>
        <v>50590.8</v>
      </c>
      <c r="E21" s="14" t="n">
        <f aca="false">SUM(E16:E20)</f>
        <v>116251.2</v>
      </c>
    </row>
    <row r="22" customFormat="false" ht="15" hidden="false" customHeight="false" outlineLevel="0" collapsed="false">
      <c r="A22" s="23" t="s">
        <v>281</v>
      </c>
      <c r="B22" s="15" t="n">
        <f aca="false">SUMIFS(Niveles!$Y$5:$Y$26,Niveles!$H$5:$H$26,"&lt;=1")</f>
        <v>3.85</v>
      </c>
      <c r="C22" s="15" t="n">
        <f aca="false">SUMIFS(Niveles!$Y$5:$Y$26,Niveles!$H$5:$H$26,"&lt;=2")</f>
        <v>20.0375</v>
      </c>
      <c r="D22" s="42" t="n">
        <f aca="false">B22*(1+Supuestos!$B$6)*(1+Supuestos!$B$7)</f>
        <v>5.75575</v>
      </c>
      <c r="E22" s="42" t="n">
        <f aca="false">C22*(1+Supuestos!$B$6)*(1+Supuestos!$B$7)</f>
        <v>29.9560625</v>
      </c>
    </row>
    <row r="23" customFormat="false" ht="15" hidden="false" customHeight="false" outlineLevel="0" collapsed="false">
      <c r="A23" s="43" t="s">
        <v>282</v>
      </c>
      <c r="B23" s="45" t="n">
        <f aca="false">B21+B22</f>
        <v>33843.85</v>
      </c>
      <c r="C23" s="45" t="n">
        <f aca="false">C21+C22</f>
        <v>77780.0375</v>
      </c>
      <c r="D23" s="45" t="n">
        <f aca="false">D21+D22</f>
        <v>50596.55575</v>
      </c>
      <c r="E23" s="45" t="n">
        <f aca="false">E21+E22</f>
        <v>116281.1560625</v>
      </c>
    </row>
    <row r="25" customFormat="false" ht="15" hidden="false" customHeight="false" outlineLevel="0" collapsed="false">
      <c r="A25" s="50" t="s">
        <v>283</v>
      </c>
      <c r="B25" s="12"/>
      <c r="C25" s="12"/>
      <c r="D25" s="12"/>
      <c r="E25" s="12"/>
      <c r="F25" s="12"/>
      <c r="G25" s="12"/>
    </row>
    <row r="26" customFormat="false" ht="43.5" hidden="false" customHeight="true" outlineLevel="0" collapsed="false">
      <c r="A26" s="32" t="s">
        <v>223</v>
      </c>
      <c r="B26" s="32" t="s">
        <v>284</v>
      </c>
      <c r="C26" s="32" t="s">
        <v>285</v>
      </c>
      <c r="D26" s="32" t="s">
        <v>286</v>
      </c>
      <c r="E26" s="32" t="s">
        <v>287</v>
      </c>
      <c r="F26" s="32" t="s">
        <v>288</v>
      </c>
      <c r="G26" s="32" t="s">
        <v>85</v>
      </c>
    </row>
    <row r="27" customFormat="false" ht="15" hidden="false" customHeight="false" outlineLevel="0" collapsed="false">
      <c r="A27" s="5" t="s">
        <v>289</v>
      </c>
      <c r="B27" s="7" t="n">
        <f aca="false">SUMIFS('Motor y HAL'!$J$5:$J$25,'Motor y HAL'!$C$5:$C$25,"Motor del juego",'Motor y HAL'!$D$5:$D$25,"&lt;=1")</f>
        <v>172</v>
      </c>
      <c r="C27" s="7" t="n">
        <f aca="false">SUMIFS('Motor y HAL'!$J$5:$J$25,'Motor y HAL'!$C$5:$C$25,"Motor del juego",'Motor y HAL'!$D$5:$D$25,"&lt;=2")</f>
        <v>172</v>
      </c>
      <c r="D27" s="13" t="n">
        <f aca="false">(SUMIFS('Motor y HAL'!$K$5:$K$25,'Motor y HAL'!$C$5:$C$25,"Motor del juego",'Motor y HAL'!$D$5:$D$25,"&lt;=1"))*(1+Supuestos!$B$6)*(1+Supuestos!$B$7)</f>
        <v>20571.2</v>
      </c>
      <c r="E27" s="13" t="n">
        <f aca="false">(SUMIFS('Motor y HAL'!$K$5:$K$25,'Motor y HAL'!$C$5:$C$25,"Motor del juego",'Motor y HAL'!$D$5:$D$25,"&lt;=2"))*(1+Supuestos!$B$6)*(1+Supuestos!$B$7)</f>
        <v>20571.2</v>
      </c>
      <c r="F27" s="16" t="n">
        <f aca="false">E27/$E$39</f>
        <v>0.17690914587178</v>
      </c>
      <c r="G27" s="2" t="s">
        <v>290</v>
      </c>
    </row>
    <row r="28" customFormat="false" ht="15" hidden="false" customHeight="false" outlineLevel="0" collapsed="false">
      <c r="A28" s="5" t="s">
        <v>291</v>
      </c>
      <c r="B28" s="7" t="n">
        <f aca="false">SUMIFS('Motor y HAL'!$J$5:$J$25,'Motor y HAL'!$C$5:$C$25,"Copiloto IA",'Motor y HAL'!$D$5:$D$25,"&lt;=1")</f>
        <v>30</v>
      </c>
      <c r="C28" s="7" t="n">
        <f aca="false">SUMIFS('Motor y HAL'!$J$5:$J$25,'Motor y HAL'!$C$5:$C$25,"Copiloto IA",'Motor y HAL'!$D$5:$D$25,"&lt;=2")</f>
        <v>30</v>
      </c>
      <c r="D28" s="13" t="n">
        <f aca="false">(SUMIFS('Motor y HAL'!$K$5:$K$25,'Motor y HAL'!$C$5:$C$25,"Copiloto IA",'Motor y HAL'!$D$5:$D$25,"&lt;=1"))*(1+Supuestos!$B$6)*(1+Supuestos!$B$7)</f>
        <v>3588</v>
      </c>
      <c r="E28" s="13" t="n">
        <f aca="false">(SUMIFS('Motor y HAL'!$K$5:$K$25,'Motor y HAL'!$C$5:$C$25,"Copiloto IA",'Motor y HAL'!$D$5:$D$25,"&lt;=2"))*(1+Supuestos!$B$6)*(1+Supuestos!$B$7)</f>
        <v>3588</v>
      </c>
      <c r="F28" s="16" t="n">
        <f aca="false">E28/$E$39</f>
        <v>0.0308562463729848</v>
      </c>
      <c r="G28" s="2" t="s">
        <v>292</v>
      </c>
    </row>
    <row r="29" customFormat="false" ht="23.85" hidden="false" customHeight="false" outlineLevel="0" collapsed="false">
      <c r="A29" s="5" t="s">
        <v>293</v>
      </c>
      <c r="B29" s="7" t="n">
        <f aca="false">SUMIFS('Motor y HAL'!$J$5:$J$25,'Motor y HAL'!$C$5:$C$25,"Simulación de periféricos",'Motor y HAL'!$D$5:$D$25,"&lt;=1")</f>
        <v>20</v>
      </c>
      <c r="C29" s="7" t="n">
        <f aca="false">SUMIFS('Motor y HAL'!$J$5:$J$25,'Motor y HAL'!$C$5:$C$25,"Simulación de periféricos",'Motor y HAL'!$D$5:$D$25,"&lt;=2")</f>
        <v>180</v>
      </c>
      <c r="D29" s="13" t="n">
        <f aca="false">(SUMIFS('Motor y HAL'!$K$5:$K$25,'Motor y HAL'!$C$5:$C$25,"Simulación de periféricos",'Motor y HAL'!$D$5:$D$25,"&lt;=1"))*(1+Supuestos!$B$6)*(1+Supuestos!$B$7)</f>
        <v>2392</v>
      </c>
      <c r="E29" s="13" t="n">
        <f aca="false">(SUMIFS('Motor y HAL'!$K$5:$K$25,'Motor y HAL'!$C$5:$C$25,"Simulación de periféricos",'Motor y HAL'!$D$5:$D$25,"&lt;=2"))*(1+Supuestos!$B$6)*(1+Supuestos!$B$7)</f>
        <v>21528</v>
      </c>
      <c r="F29" s="16" t="n">
        <f aca="false">E29/$E$39</f>
        <v>0.185137478237909</v>
      </c>
      <c r="G29" s="2" t="s">
        <v>294</v>
      </c>
    </row>
    <row r="30" customFormat="false" ht="15" hidden="false" customHeight="false" outlineLevel="0" collapsed="false">
      <c r="A30" s="5" t="s">
        <v>243</v>
      </c>
      <c r="B30" s="7" t="n">
        <f aca="false">SUMIFS('Motor y HAL'!$J$5:$J$25,'Motor y HAL'!$C$5:$C$25,"Arte y animación base",'Motor y HAL'!$D$5:$D$25,"&lt;=1")</f>
        <v>65</v>
      </c>
      <c r="C30" s="7" t="n">
        <f aca="false">SUMIFS('Motor y HAL'!$J$5:$J$25,'Motor y HAL'!$C$5:$C$25,"Arte y animación base",'Motor y HAL'!$D$5:$D$25,"&lt;=2")</f>
        <v>65</v>
      </c>
      <c r="D30" s="13" t="n">
        <f aca="false">(SUMIFS('Motor y HAL'!$K$5:$K$25,'Motor y HAL'!$C$5:$C$25,"Arte y animación base",'Motor y HAL'!$D$5:$D$25,"&lt;=1"))*(1+Supuestos!$B$6)*(1+Supuestos!$B$7)</f>
        <v>7774</v>
      </c>
      <c r="E30" s="13" t="n">
        <f aca="false">(SUMIFS('Motor y HAL'!$K$5:$K$25,'Motor y HAL'!$C$5:$C$25,"Arte y animación base",'Motor y HAL'!$D$5:$D$25,"&lt;=2"))*(1+Supuestos!$B$6)*(1+Supuestos!$B$7)</f>
        <v>7774</v>
      </c>
      <c r="F30" s="16" t="n">
        <f aca="false">E30/$E$39</f>
        <v>0.0668552004748005</v>
      </c>
      <c r="G30" s="2" t="s">
        <v>295</v>
      </c>
    </row>
    <row r="31" customFormat="false" ht="15" hidden="false" customHeight="false" outlineLevel="0" collapsed="false">
      <c r="A31" s="5" t="s">
        <v>296</v>
      </c>
      <c r="B31" s="7" t="n">
        <f aca="false">SUMIFS(Niveles!$N$5:$N$26,Niveles!$H$5:$H$26,"&lt;=1")</f>
        <v>18</v>
      </c>
      <c r="C31" s="7" t="n">
        <f aca="false">SUMIFS(Niveles!$N$5:$N$26,Niveles!$H$5:$H$26,"&lt;=2")</f>
        <v>78</v>
      </c>
      <c r="D31" s="13" t="n">
        <f aca="false">(SUMIFS(Niveles!$R$5:$R$26,Niveles!$H$5:$H$26,"&lt;=1"))*(1+Supuestos!$B$6)*(1+Supuestos!$B$7)</f>
        <v>2152.8</v>
      </c>
      <c r="E31" s="13" t="n">
        <f aca="false">(SUMIFS(Niveles!$R$5:$R$26,Niveles!$H$5:$H$26,"&lt;=2"))*(1+Supuestos!$B$6)*(1+Supuestos!$B$7)</f>
        <v>9328.8</v>
      </c>
      <c r="F31" s="16" t="n">
        <f aca="false">E31/$E$39</f>
        <v>0.0802262405697606</v>
      </c>
      <c r="G31" s="2" t="s">
        <v>297</v>
      </c>
    </row>
    <row r="32" customFormat="false" ht="15" hidden="false" customHeight="false" outlineLevel="0" collapsed="false">
      <c r="A32" s="5" t="s">
        <v>298</v>
      </c>
      <c r="B32" s="7" t="n">
        <f aca="false">SUMIFS('Motor y HAL'!$J$5:$J$25,'Motor y HAL'!$C$5:$C$25,"Sonido",'Motor y HAL'!$D$5:$D$25,"&lt;=1")+SUMIFS(Niveles!$O$5:$O$26,Niveles!$H$5:$H$26,"&lt;=1")</f>
        <v>20</v>
      </c>
      <c r="C32" s="7" t="n">
        <f aca="false">SUMIFS('Motor y HAL'!$J$5:$J$25,'Motor y HAL'!$C$5:$C$25,"Sonido",'Motor y HAL'!$D$5:$D$25,"&lt;=2")+SUMIFS(Niveles!$O$5:$O$26,Niveles!$H$5:$H$26,"&lt;=2")</f>
        <v>37</v>
      </c>
      <c r="D32" s="13" t="n">
        <f aca="false">(SUMIFS('Motor y HAL'!$K$5:$K$25,'Motor y HAL'!$C$5:$C$25,"Sonido",'Motor y HAL'!$D$5:$D$25,"&lt;=1")+SUMIFS(Niveles!$S$5:$S$26,Niveles!$H$5:$H$26,"&lt;=1"))*(1+Supuestos!$B$6)*(1+Supuestos!$B$7)</f>
        <v>2392</v>
      </c>
      <c r="E32" s="13" t="n">
        <f aca="false">(SUMIFS('Motor y HAL'!$K$5:$K$25,'Motor y HAL'!$C$5:$C$25,"Sonido",'Motor y HAL'!$D$5:$D$25,"&lt;=2")+SUMIFS(Niveles!$S$5:$S$26,Niveles!$H$5:$H$26,"&lt;=2"))*(1+Supuestos!$B$6)*(1+Supuestos!$B$7)</f>
        <v>4425.2</v>
      </c>
      <c r="F32" s="16" t="n">
        <f aca="false">E32/$E$39</f>
        <v>0.038056037193348</v>
      </c>
      <c r="G32" s="2" t="s">
        <v>299</v>
      </c>
    </row>
    <row r="33" customFormat="false" ht="15" hidden="false" customHeight="false" outlineLevel="0" collapsed="false">
      <c r="A33" s="5" t="s">
        <v>300</v>
      </c>
      <c r="B33" s="7" t="n">
        <f aca="false">SUMIFS(Niveles!$J$5:$J$26,Niveles!$B$5:$B$26,"Bloque 1 · GPIO",Niveles!$H$5:$H$26,"&lt;=1")</f>
        <v>48</v>
      </c>
      <c r="C33" s="7" t="n">
        <f aca="false">SUMIFS(Niveles!$J$5:$J$26,Niveles!$B$5:$B$26,"Bloque 1 · GPIO",Niveles!$H$5:$H$26,"&lt;=2")</f>
        <v>120</v>
      </c>
      <c r="D33" s="13" t="n">
        <f aca="false">(SUMIFS(Niveles!$Q$5:$Q$26,Niveles!$B$5:$B$26,"Bloque 1 · GPIO",Niveles!$H$5:$H$26,"&lt;=1"))*(1+Supuestos!$B$6)*(1+Supuestos!$B$7)</f>
        <v>5740.8</v>
      </c>
      <c r="E33" s="13" t="n">
        <f aca="false">(SUMIFS(Niveles!$Q$5:$Q$26,Niveles!$B$5:$B$26,"Bloque 1 · GPIO",Niveles!$H$5:$H$26,"&lt;=2"))*(1+Supuestos!$B$6)*(1+Supuestos!$B$7)</f>
        <v>14352</v>
      </c>
      <c r="F33" s="16" t="n">
        <f aca="false">E33/$E$39</f>
        <v>0.123424985491939</v>
      </c>
      <c r="G33" s="2" t="s">
        <v>301</v>
      </c>
    </row>
    <row r="34" customFormat="false" ht="15" hidden="false" customHeight="false" outlineLevel="0" collapsed="false">
      <c r="A34" s="5" t="s">
        <v>302</v>
      </c>
      <c r="B34" s="7" t="n">
        <f aca="false">SUMIFS(Niveles!$J$5:$J$26,Niveles!$B$5:$B$26,"Bloque 2 · Tiempo y serie",Niveles!$H$5:$H$26,"&lt;=1")</f>
        <v>0</v>
      </c>
      <c r="C34" s="7" t="n">
        <f aca="false">SUMIFS(Niveles!$J$5:$J$26,Niveles!$B$5:$B$26,"Bloque 2 · Tiempo y serie",Niveles!$H$5:$H$26,"&lt;=2")</f>
        <v>144</v>
      </c>
      <c r="D34" s="13" t="n">
        <f aca="false">(SUMIFS(Niveles!$Q$5:$Q$26,Niveles!$B$5:$B$26,"Bloque 2 · Tiempo y serie",Niveles!$H$5:$H$26,"&lt;=1"))*(1+Supuestos!$B$6)*(1+Supuestos!$B$7)</f>
        <v>0</v>
      </c>
      <c r="E34" s="13" t="n">
        <f aca="false">(SUMIFS(Niveles!$Q$5:$Q$26,Niveles!$B$5:$B$26,"Bloque 2 · Tiempo y serie",Niveles!$H$5:$H$26,"&lt;=2"))*(1+Supuestos!$B$6)*(1+Supuestos!$B$7)</f>
        <v>17222.4</v>
      </c>
      <c r="F34" s="16" t="n">
        <f aca="false">E34/$E$39</f>
        <v>0.148109982590327</v>
      </c>
      <c r="G34" s="2" t="s">
        <v>303</v>
      </c>
    </row>
    <row r="35" customFormat="false" ht="15" hidden="false" customHeight="false" outlineLevel="0" collapsed="false">
      <c r="A35" s="5" t="s">
        <v>304</v>
      </c>
      <c r="B35" s="7" t="n">
        <f aca="false">SUMIFS(Niveles!$J$5:$J$26,Niveles!$B$5:$B$26,"Bloque 3 · Analógico y buses",Niveles!$H$5:$H$26,"&lt;=1")</f>
        <v>0</v>
      </c>
      <c r="C35" s="7" t="n">
        <f aca="false">SUMIFS(Niveles!$J$5:$J$26,Niveles!$B$5:$B$26,"Bloque 3 · Analógico y buses",Niveles!$H$5:$H$26,"&lt;=2")</f>
        <v>96</v>
      </c>
      <c r="D35" s="13" t="n">
        <f aca="false">(SUMIFS(Niveles!$Q$5:$Q$26,Niveles!$B$5:$B$26,"Bloque 3 · Analógico y buses",Niveles!$H$5:$H$26,"&lt;=1"))*(1+Supuestos!$B$6)*(1+Supuestos!$B$7)</f>
        <v>0</v>
      </c>
      <c r="E35" s="13" t="n">
        <f aca="false">(SUMIFS(Niveles!$Q$5:$Q$26,Niveles!$B$5:$B$26,"Bloque 3 · Analógico y buses",Niveles!$H$5:$H$26,"&lt;=2"))*(1+Supuestos!$B$6)*(1+Supuestos!$B$7)</f>
        <v>11481.6</v>
      </c>
      <c r="F35" s="16" t="n">
        <f aca="false">E35/$E$39</f>
        <v>0.0987399883935515</v>
      </c>
      <c r="G35" s="2" t="s">
        <v>305</v>
      </c>
    </row>
    <row r="36" customFormat="false" ht="15" hidden="false" customHeight="false" outlineLevel="0" collapsed="false">
      <c r="A36" s="5" t="s">
        <v>306</v>
      </c>
      <c r="B36" s="7" t="n">
        <f aca="false">SUMIFS('Motor y HAL'!$J$5:$J$25,'Motor y HAL'!$C$5:$C$25,"Venta y lanzamiento",'Motor y HAL'!$D$5:$D$25,"&lt;=1")</f>
        <v>30</v>
      </c>
      <c r="C36" s="7" t="n">
        <f aca="false">SUMIFS('Motor y HAL'!$J$5:$J$25,'Motor y HAL'!$C$5:$C$25,"Venta y lanzamiento",'Motor y HAL'!$D$5:$D$25,"&lt;=2")</f>
        <v>30</v>
      </c>
      <c r="D36" s="13" t="n">
        <f aca="false">(SUMIFS('Motor y HAL'!$K$5:$K$25,'Motor y HAL'!$C$5:$C$25,"Venta y lanzamiento",'Motor y HAL'!$D$5:$D$25,"&lt;=1"))*(1+Supuestos!$B$6)*(1+Supuestos!$B$7)</f>
        <v>3588</v>
      </c>
      <c r="E36" s="13" t="n">
        <f aca="false">(SUMIFS('Motor y HAL'!$K$5:$K$25,'Motor y HAL'!$C$5:$C$25,"Venta y lanzamiento",'Motor y HAL'!$D$5:$D$25,"&lt;=2"))*(1+Supuestos!$B$6)*(1+Supuestos!$B$7)</f>
        <v>3588</v>
      </c>
      <c r="F36" s="16" t="n">
        <f aca="false">E36/$E$39</f>
        <v>0.0308562463729848</v>
      </c>
      <c r="G36" s="2"/>
    </row>
    <row r="37" customFormat="false" ht="15" hidden="false" customHeight="false" outlineLevel="0" collapsed="false">
      <c r="A37" s="5" t="s">
        <v>307</v>
      </c>
      <c r="B37" s="7" t="n">
        <f aca="false">SUMIFS('Motor y HAL'!$J$5:$J$25,'Motor y HAL'!$C$5:$C$25,"Piloto",'Motor y HAL'!$D$5:$D$25,"&lt;=1")</f>
        <v>20</v>
      </c>
      <c r="C37" s="7" t="n">
        <f aca="false">SUMIFS('Motor y HAL'!$J$5:$J$25,'Motor y HAL'!$C$5:$C$25,"Piloto",'Motor y HAL'!$D$5:$D$25,"&lt;=2")</f>
        <v>20</v>
      </c>
      <c r="D37" s="13" t="n">
        <f aca="false">(SUMIFS('Motor y HAL'!$K$5:$K$25,'Motor y HAL'!$C$5:$C$25,"Piloto",'Motor y HAL'!$D$5:$D$25,"&lt;=1"))*(1+Supuestos!$B$6)*(1+Supuestos!$B$7)</f>
        <v>2392</v>
      </c>
      <c r="E37" s="13" t="n">
        <f aca="false">(SUMIFS('Motor y HAL'!$K$5:$K$25,'Motor y HAL'!$C$5:$C$25,"Piloto",'Motor y HAL'!$D$5:$D$25,"&lt;=2"))*(1+Supuestos!$B$6)*(1+Supuestos!$B$7)</f>
        <v>2392</v>
      </c>
      <c r="F37" s="16" t="n">
        <f aca="false">E37/$E$39</f>
        <v>0.0205708309153232</v>
      </c>
      <c r="G37" s="2"/>
    </row>
    <row r="38" customFormat="false" ht="15" hidden="false" customHeight="false" outlineLevel="0" collapsed="false">
      <c r="A38" s="23" t="s">
        <v>281</v>
      </c>
      <c r="B38" s="53" t="n">
        <v>0</v>
      </c>
      <c r="C38" s="53" t="n">
        <v>0</v>
      </c>
      <c r="D38" s="20" t="n">
        <f aca="false">D22</f>
        <v>5.75575</v>
      </c>
      <c r="E38" s="20" t="n">
        <f aca="false">E22</f>
        <v>29.9560625</v>
      </c>
      <c r="F38" s="16" t="n">
        <f aca="false">E38/$E$39</f>
        <v>0.000257617515291118</v>
      </c>
    </row>
    <row r="39" customFormat="false" ht="15" hidden="false" customHeight="false" outlineLevel="0" collapsed="false">
      <c r="A39" s="43" t="s">
        <v>308</v>
      </c>
      <c r="B39" s="51" t="n">
        <f aca="false">SUM(B27:B38)</f>
        <v>423</v>
      </c>
      <c r="C39" s="51" t="n">
        <f aca="false">SUM(C27:C38)</f>
        <v>972</v>
      </c>
      <c r="D39" s="45" t="n">
        <f aca="false">SUM(D27:D38)</f>
        <v>50596.55575</v>
      </c>
      <c r="E39" s="45" t="n">
        <f aca="false">SUM(E27:E38)</f>
        <v>116281.1560625</v>
      </c>
      <c r="F39" s="54" t="n">
        <f aca="false">SUM(F27:F38)</f>
        <v>1</v>
      </c>
    </row>
    <row r="40" customFormat="false" ht="15" hidden="false" customHeight="false" outlineLevel="0" collapsed="false">
      <c r="A40" s="2" t="s">
        <v>309</v>
      </c>
      <c r="D40" s="55" t="n">
        <f aca="false">ROUND(D39-D23,2)</f>
        <v>0</v>
      </c>
      <c r="E40" s="55" t="n">
        <f aca="false">ROUND(E39-E23,2)</f>
        <v>0</v>
      </c>
    </row>
    <row r="42" customFormat="false" ht="15" hidden="false" customHeight="false" outlineLevel="0" collapsed="false">
      <c r="A42" s="50" t="s">
        <v>310</v>
      </c>
      <c r="B42" s="12"/>
      <c r="C42" s="12"/>
      <c r="D42" s="12"/>
    </row>
    <row r="43" customFormat="false" ht="15" hidden="false" customHeight="false" outlineLevel="0" collapsed="false">
      <c r="A43" s="32" t="s">
        <v>2</v>
      </c>
      <c r="B43" s="32" t="s">
        <v>106</v>
      </c>
      <c r="C43" s="32" t="s">
        <v>311</v>
      </c>
      <c r="D43" s="32" t="s">
        <v>107</v>
      </c>
    </row>
    <row r="44" customFormat="false" ht="15" hidden="false" customHeight="false" outlineLevel="0" collapsed="false">
      <c r="A44" s="23" t="s">
        <v>108</v>
      </c>
      <c r="B44" s="56" t="n">
        <f aca="false">Supuestos!B44</f>
        <v>100</v>
      </c>
      <c r="C44" s="20" t="n">
        <f aca="false">B44*Supuestos!$B$2</f>
        <v>1750</v>
      </c>
      <c r="D44" s="2" t="s">
        <v>109</v>
      </c>
    </row>
    <row r="45" customFormat="false" ht="15" hidden="false" customHeight="false" outlineLevel="0" collapsed="false">
      <c r="A45" s="23" t="s">
        <v>110</v>
      </c>
      <c r="B45" s="56" t="n">
        <f aca="false">Supuestos!B45</f>
        <v>12</v>
      </c>
      <c r="C45" s="20" t="n">
        <f aca="false">B45*Supuestos!$B$2</f>
        <v>210</v>
      </c>
      <c r="D45" s="2" t="s">
        <v>111</v>
      </c>
    </row>
    <row r="46" customFormat="false" ht="15" hidden="false" customHeight="false" outlineLevel="0" collapsed="false">
      <c r="A46" s="23" t="s">
        <v>112</v>
      </c>
      <c r="B46" s="56" t="n">
        <f aca="false">Supuestos!B46</f>
        <v>99</v>
      </c>
      <c r="C46" s="20" t="n">
        <f aca="false">B46*Supuestos!$B$2</f>
        <v>1732.5</v>
      </c>
      <c r="D46" s="2" t="s">
        <v>111</v>
      </c>
    </row>
    <row r="47" customFormat="false" ht="15" hidden="false" customHeight="false" outlineLevel="0" collapsed="false">
      <c r="A47" s="23" t="s">
        <v>312</v>
      </c>
      <c r="B47" s="56" t="n">
        <f aca="false">Supuestos!B47</f>
        <v>300</v>
      </c>
      <c r="C47" s="20" t="n">
        <f aca="false">B47*Supuestos!$B$2</f>
        <v>5250</v>
      </c>
      <c r="D47" s="2" t="s">
        <v>313</v>
      </c>
    </row>
    <row r="48" customFormat="false" ht="15" hidden="false" customHeight="false" outlineLevel="0" collapsed="false">
      <c r="A48" s="43" t="s">
        <v>314</v>
      </c>
      <c r="B48" s="57" t="n">
        <f aca="false">SUM(B44:B47)</f>
        <v>511</v>
      </c>
      <c r="C48" s="45" t="n">
        <f aca="false">SUM(C44:C47)</f>
        <v>8942.5</v>
      </c>
    </row>
    <row r="50" customFormat="false" ht="15" hidden="false" customHeight="false" outlineLevel="0" collapsed="false">
      <c r="A50" s="32" t="s">
        <v>315</v>
      </c>
      <c r="B50" s="32" t="s">
        <v>3</v>
      </c>
      <c r="C50" s="32" t="s">
        <v>4</v>
      </c>
    </row>
    <row r="51" customFormat="false" ht="15" hidden="false" customHeight="false" outlineLevel="0" collapsed="false">
      <c r="A51" s="23" t="s">
        <v>316</v>
      </c>
      <c r="B51" s="20" t="n">
        <f aca="false">D23</f>
        <v>50596.55575</v>
      </c>
      <c r="C51" s="20" t="n">
        <f aca="false">E23</f>
        <v>116281.1560625</v>
      </c>
    </row>
    <row r="52" customFormat="false" ht="15" hidden="false" customHeight="false" outlineLevel="0" collapsed="false">
      <c r="A52" s="23" t="s">
        <v>317</v>
      </c>
      <c r="B52" s="20" t="n">
        <f aca="false">C48</f>
        <v>8942.5</v>
      </c>
      <c r="C52" s="20" t="n">
        <f aca="false">C48</f>
        <v>8942.5</v>
      </c>
    </row>
    <row r="53" customFormat="false" ht="15" hidden="false" customHeight="false" outlineLevel="0" collapsed="false">
      <c r="A53" s="43" t="s">
        <v>318</v>
      </c>
      <c r="B53" s="45" t="n">
        <f aca="false">B51+B52</f>
        <v>59539.05575</v>
      </c>
      <c r="C53" s="45" t="n">
        <f aca="false">C51+C52</f>
        <v>125223.6560625</v>
      </c>
    </row>
    <row r="54" customFormat="false" ht="15" hidden="false" customHeight="false" outlineLevel="0" collapsed="false">
      <c r="A54" s="21" t="s">
        <v>319</v>
      </c>
      <c r="B54" s="14" t="n">
        <f aca="false">D22+B52</f>
        <v>8948.25575</v>
      </c>
      <c r="C54" s="14" t="n">
        <f aca="false">E22+C52</f>
        <v>8972.4560625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2026-10-09T14:41:38Z</dcterms:created>
  <dc:creator>openpyxl</dc:creator>
  <dc:description/>
  <dc:language>en-US</dc:language>
  <cp:lastModifiedBy/>
  <dcterms:modified xsi:type="dcterms:W3CDTF">2026-10-09T14:41:38Z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