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f764f5388938772/Documents/PDI_IV/Proyecto-de-ingenier-a-IV-Yael/docs/recursos/archivos/"/>
    </mc:Choice>
  </mc:AlternateContent>
  <xr:revisionPtr revIDLastSave="0" documentId="11_958BDA559AC81C8468FAE73A237E19C6C612FFDB" xr6:coauthVersionLast="47" xr6:coauthVersionMax="47" xr10:uidLastSave="{00000000-0000-0000-0000-000000000000}"/>
  <bookViews>
    <workbookView xWindow="1365" yWindow="2640" windowWidth="12045" windowHeight="11295" tabRatio="500" xr2:uid="{00000000-000D-0000-FFFF-FFFF00000000}"/>
  </bookViews>
  <sheets>
    <sheet name="Supuestos" sheetId="1" r:id="rId1"/>
    <sheet name="Software (1a iteración)" sheetId="2" r:id="rId2"/>
    <sheet name="Estación (fase 2)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3" l="1"/>
  <c r="H14" i="3"/>
  <c r="H13" i="3"/>
  <c r="H12" i="3"/>
  <c r="H11" i="3"/>
  <c r="H10" i="3"/>
  <c r="H9" i="3"/>
  <c r="H8" i="3"/>
  <c r="H7" i="3"/>
  <c r="H6" i="3"/>
  <c r="H5" i="3"/>
  <c r="H4" i="3"/>
  <c r="H18" i="3" s="1"/>
  <c r="B25" i="2"/>
  <c r="B20" i="2"/>
  <c r="B28" i="2" s="1"/>
  <c r="D13" i="2"/>
  <c r="D12" i="2"/>
  <c r="D11" i="2"/>
  <c r="D10" i="2"/>
  <c r="D9" i="2"/>
  <c r="D7" i="2"/>
  <c r="D6" i="2"/>
  <c r="D5" i="2"/>
  <c r="D4" i="2"/>
  <c r="H22" i="3" l="1"/>
  <c r="H21" i="3"/>
  <c r="H20" i="3"/>
  <c r="H19" i="3"/>
  <c r="B21" i="2"/>
  <c r="B23" i="2"/>
  <c r="C8" i="2" l="1"/>
  <c r="B24" i="2"/>
  <c r="B26" i="2" s="1"/>
  <c r="B27" i="2" s="1"/>
  <c r="C14" i="2" l="1"/>
  <c r="D14" i="2" s="1"/>
  <c r="C15" i="2"/>
  <c r="D15" i="2" s="1"/>
  <c r="D8" i="2"/>
</calcChain>
</file>

<file path=xl/sharedStrings.xml><?xml version="1.0" encoding="utf-8"?>
<sst xmlns="http://schemas.openxmlformats.org/spreadsheetml/2006/main" count="196" uniqueCount="168">
  <si>
    <t>BOM preliminar — GPIO Génesis · Semana 5 · 24-sep-2026</t>
  </si>
  <si>
    <t>Celdas en azul = datos que se pueden cambiar. Celdas amarillas = supuestos que todavía hay que validar. Todo lo demás son fórmulas.</t>
  </si>
  <si>
    <t>Parámetro</t>
  </si>
  <si>
    <t>Valor</t>
  </si>
  <si>
    <t>Unidad</t>
  </si>
  <si>
    <t>Fuente / nota</t>
  </si>
  <si>
    <t>Tipo de cambio</t>
  </si>
  <si>
    <t>MXN por USD</t>
  </si>
  <si>
    <t>FIX promedio 24-sep-2026 (17.5001), eldolar.info con dato de Banxico</t>
  </si>
  <si>
    <t>Claude Haiku 4.5 — entrada</t>
  </si>
  <si>
    <t>USD por millón de tokens</t>
  </si>
  <si>
    <t>platform.claude.com/docs/en/about-claude/pricing (consultado 24-sep-2026)</t>
  </si>
  <si>
    <t>Claude Haiku 4.5 — salida</t>
  </si>
  <si>
    <t>Misma fuente</t>
  </si>
  <si>
    <t>Tokens de entrada por consulta</t>
  </si>
  <si>
    <t>tokens</t>
  </si>
  <si>
    <t>SUPUESTO: prompt de sistema ~1,500 + código ~800 + errores y traza ~700</t>
  </si>
  <si>
    <t>Tokens de salida por consulta</t>
  </si>
  <si>
    <t>SUPUESTO: explicación + pista en JSON</t>
  </si>
  <si>
    <t>Consultas a la nube por jugador (campaña completa)</t>
  </si>
  <si>
    <t>consultas</t>
  </si>
  <si>
    <t>SUPUESTO: ~15 por hora × ~20 horas de juego, sin descontar las que resuelve la capa local</t>
  </si>
  <si>
    <t>Jugadores en el piloto (semana 13)</t>
  </si>
  <si>
    <t>jugadores</t>
  </si>
  <si>
    <t>Meta de prueba con usuarios reales</t>
  </si>
  <si>
    <t>Precio del juego</t>
  </si>
  <si>
    <t>MXN</t>
  </si>
  <si>
    <t>Punto medio del rango 199–299 MXN (semana 4)</t>
  </si>
  <si>
    <t>Comisión de la tienda</t>
  </si>
  <si>
    <t>fracción</t>
  </si>
  <si>
    <t>Steam cobra 30%; en itch.io el reparto lo elige el vendedor (conservador: 30%)</t>
  </si>
  <si>
    <t>Regla de costo de materiales (hardware)</t>
  </si>
  <si>
    <t>fracción del precio</t>
  </si>
  <si>
    <t>Regla del curso: costo de materiales ≤ 30% del precio de venta</t>
  </si>
  <si>
    <t>Costos de la first-iteration (solo software) y costo de la IA por jugador</t>
  </si>
  <si>
    <t>Concepto</t>
  </si>
  <si>
    <t>Proveedor</t>
  </si>
  <si>
    <t>Costo USD</t>
  </si>
  <si>
    <t>Costo MXN</t>
  </si>
  <si>
    <t>Cuándo se paga</t>
  </si>
  <si>
    <t>Motor del juego</t>
  </si>
  <si>
    <t>Godot 4 (licencia MIT)</t>
  </si>
  <si>
    <t>—</t>
  </si>
  <si>
    <t>Sin costo; sin regalías</t>
  </si>
  <si>
    <t>Compilador del jugador</t>
  </si>
  <si>
    <t>wasi-sdk / clang (Apache 2.0 + excepción LLVM)</t>
  </si>
  <si>
    <t>Se incluye en el instalador</t>
  </si>
  <si>
    <t>Runtime WebAssembly</t>
  </si>
  <si>
    <t>WAMR (Apache 2.0)</t>
  </si>
  <si>
    <t>Se enlaza al juego vía GDExtension</t>
  </si>
  <si>
    <t>Backend: Auth + Postgres + Edge Functions</t>
  </si>
  <si>
    <t>Supabase plan Free</t>
  </si>
  <si>
    <t>Piloto</t>
  </si>
  <si>
    <t>Free: 500 MB de BD, 50,000 MAU, 500,000 invocaciones; el proyecto se pausa tras 1 semana sin actividad (supabase.com/pricing)</t>
  </si>
  <si>
    <t>Copiloto IA durante el piloto</t>
  </si>
  <si>
    <t>Anthropic — Claude Haiku 4.5</t>
  </si>
  <si>
    <t>Jugadores del piloto × costo de IA por jugador (abajo). Poner límite de gasto en la consola</t>
  </si>
  <si>
    <t>Página de venta</t>
  </si>
  <si>
    <t>GitHub Pages</t>
  </si>
  <si>
    <t>Ya lo usamos para esta bitácora</t>
  </si>
  <si>
    <t>Distribución de la demo</t>
  </si>
  <si>
    <t>itch.io</t>
  </si>
  <si>
    <t>Sin cuota de alta</t>
  </si>
  <si>
    <t>Dominio gpiogenesis.com</t>
  </si>
  <si>
    <t>Registrador por definir</t>
  </si>
  <si>
    <t>Al lanzar</t>
  </si>
  <si>
    <t>ESTIMADO sin cotizar (~USD 15/año). En semana 3 el dominio estaba libre</t>
  </si>
  <si>
    <t>Backend en producción</t>
  </si>
  <si>
    <t>Supabase plan Pro</t>
  </si>
  <si>
    <t>Al lanzar (mensual)</t>
  </si>
  <si>
    <t>USD 25/mes; evita la pausa por inactividad (supabase.com/pricing)</t>
  </si>
  <si>
    <t>Alta en Steam</t>
  </si>
  <si>
    <t>Steam Direct</t>
  </si>
  <si>
    <t>USD 100 por juego, recuperable después de USD 1,000 en ventas (partner.steamgames.com)</t>
  </si>
  <si>
    <t>Total para llegar al piloto (semana 13)</t>
  </si>
  <si>
    <t>Total para el lanzamiento público (pagos únicos + 1 mes de backend)</t>
  </si>
  <si>
    <t>Costo de la IA por jugador</t>
  </si>
  <si>
    <t>Costo por consulta (USD)</t>
  </si>
  <si>
    <t>Costo por consulta (MXN)</t>
  </si>
  <si>
    <t>Costo de IA por jugador, campaña completa (USD)</t>
  </si>
  <si>
    <t>Costo de IA por jugador (MXN)</t>
  </si>
  <si>
    <t>Ingreso neto por copia (MXN)</t>
  </si>
  <si>
    <t>IA como % del ingreso neto</t>
  </si>
  <si>
    <t>Si la API sube 10×: IA como % del ingreso neto</t>
  </si>
  <si>
    <t>Consultas por jugador para que la IA sea ≤10% del ingreso neto (con precio actual)</t>
  </si>
  <si>
    <t>Nota: el costo real baja si (a) la capa local resuelve una parte de los errores, (b) se usa caché de prompt (lectura de caché de Haiku 4.5: USD 0.10 por millón) y (c) se reutilizan explicaciones de errores idénticos.</t>
  </si>
  <si>
    <t>BOM preliminar de la estación de pruebas (fase 2, fuera de la first-iteration) — precios en tiendas de México, 24-sep-2026</t>
  </si>
  <si>
    <t>Componente</t>
  </si>
  <si>
    <t>Especificación</t>
  </si>
  <si>
    <t>Tienda (MX)</t>
  </si>
  <si>
    <t>URL</t>
  </si>
  <si>
    <t>Precio 1 pza (MXN)</t>
  </si>
  <si>
    <t>Precio c/u a volumen (MXN)</t>
  </si>
  <si>
    <t>Cant. por estación</t>
  </si>
  <si>
    <t>Subtotal por estación (MXN)</t>
  </si>
  <si>
    <t>Disponibilidad</t>
  </si>
  <si>
    <t>Dato</t>
  </si>
  <si>
    <t>Plan B</t>
  </si>
  <si>
    <t>ESP32-S3 (placa de desarrollo) ★</t>
  </si>
  <si>
    <t>ESP32-S3 doble USB-C, WROOM-1</t>
  </si>
  <si>
    <t>UNIT Electronics</t>
  </si>
  <si>
    <t>https://uelectronics.com/categoria-producto/tarjetas-desarrollo/esp32/</t>
  </si>
  <si>
    <t>En catálogo ($159–188 según versión)</t>
  </si>
  <si>
    <t>Verificado</t>
  </si>
  <si>
    <t>ESP32-S3-WROOM-1-N8R8 suelto ($152) sobre PCB propia; ESP32-C6 (RISC-V) si se quiere usar el mismo clang</t>
  </si>
  <si>
    <t>Motorreductor N20 ★</t>
  </si>
  <si>
    <t>N20 metálico 6 V, 50–500 RPM</t>
  </si>
  <si>
    <t>Geek Factory</t>
  </si>
  <si>
    <t>https://www.geekfactory.mx/producto/micro-motorreductor-n20-metalico/</t>
  </si>
  <si>
    <t>En catálogo</t>
  </si>
  <si>
    <t>GA12-N20 de otras tiendas</t>
  </si>
  <si>
    <t>Encoder para el N20 ★ (el más difícil)</t>
  </si>
  <si>
    <t>Óptico DFRobot SEN0116, 12 pulsos/vuelta</t>
  </si>
  <si>
    <t>https://www.geekfactory.mx/producto/encoder-para-micro-motorreductor-metalico-n20/</t>
  </si>
  <si>
    <t>En existencia. El N20 con encoder Hall integrado estaba AGOTADO en ByMechatronics y MKtronik</t>
  </si>
  <si>
    <t>N20 con encoder Hall por AliExpress (3–4 semanas) o disco ranurado + sensor óptico impreso en 3D</t>
  </si>
  <si>
    <t>Driver de motor</t>
  </si>
  <si>
    <t>TB6612FNG doble puente H, 1 A</t>
  </si>
  <si>
    <t>https://www.geekfactory.mx/producto/tb6612fng-puente-h-doble-controlador-de-motor/</t>
  </si>
  <si>
    <t>En existencia</t>
  </si>
  <si>
    <t>DRV8833</t>
  </si>
  <si>
    <t>IMU</t>
  </si>
  <si>
    <t>MPU-6050 acelerómetro + giroscopio, I²C</t>
  </si>
  <si>
    <t>Sandorobotics</t>
  </si>
  <si>
    <t>https://sandorobotics.com.mx/producto/hr0044/</t>
  </si>
  <si>
    <t>14 pzas en existencia</t>
  </si>
  <si>
    <t>MPU-6050 es un chip descontinuado (hay clones); a futuro BMI160/ICM-42688</t>
  </si>
  <si>
    <t>Sensor de corriente</t>
  </si>
  <si>
    <t>INA219, I²C, 0–3.2 A</t>
  </si>
  <si>
    <t>https://uelectronics.com/producto/ina219-sensor-corriente-3v-5v-i2c/</t>
  </si>
  <si>
    <t>28 pzas en existencia</t>
  </si>
  <si>
    <t>INA226</t>
  </si>
  <si>
    <t>Servomotor</t>
  </si>
  <si>
    <t>SG90 9 g, 0–180°</t>
  </si>
  <si>
    <t>https://uelectronics.com/producto/servomotor-sg90-rc-9g/</t>
  </si>
  <si>
    <t>Miles en existencia</t>
  </si>
  <si>
    <t>MG90S (engranes metálicos)</t>
  </si>
  <si>
    <t>Pantalla</t>
  </si>
  <si>
    <t>OLED 0.96" 128×64 I²C</t>
  </si>
  <si>
    <t>https://uelectronics.com/producto/display-oled-azul-y-blanco-128x64-0-96-i2c-ssd1306/</t>
  </si>
  <si>
    <t>En catálogo ($69–76 según color)</t>
  </si>
  <si>
    <t>LEDs de estado solamente</t>
  </si>
  <si>
    <t>PCB portadora de módulos</t>
  </si>
  <si>
    <t>2 capas, sin PCBA; módulos con headers THT</t>
  </si>
  <si>
    <t>JLCPCB</t>
  </si>
  <si>
    <t>https://jlcpcb.com</t>
  </si>
  <si>
    <t>Fabricación + envío ~1–2 semanas</t>
  </si>
  <si>
    <t>ESTIMADO</t>
  </si>
  <si>
    <t>Placa perforada en las primeras 3 unidades</t>
  </si>
  <si>
    <t>Base y carcasa</t>
  </si>
  <si>
    <t>PLA impreso en 3D, ~150 g</t>
  </si>
  <si>
    <t>Impresión propia</t>
  </si>
  <si>
    <t>Inmediata</t>
  </si>
  <si>
    <t>Acrílico cortado a láser</t>
  </si>
  <si>
    <t>Conectores, LEDs, botones, tornillería</t>
  </si>
  <si>
    <t>Headers, JST, 3 LEDs, 2 botones, M2/M3</t>
  </si>
  <si>
    <t>Varias</t>
  </si>
  <si>
    <t>Alimentación</t>
  </si>
  <si>
    <t>Fuente 5 V 2 A USB-C + cable de datos</t>
  </si>
  <si>
    <t>Un puerto USB de PC da 500 mA: no alcanza para motor + servo</t>
  </si>
  <si>
    <t>Unidades de la primera tirada</t>
  </si>
  <si>
    <t>BOM por estación (volumen 10)</t>
  </si>
  <si>
    <t>BOM total de la tirada</t>
  </si>
  <si>
    <t>Precio de venta mínimo por estación (BOM ÷ 30%)</t>
  </si>
  <si>
    <t>Parte del BOM que es dato verificado</t>
  </si>
  <si>
    <t>¿Cabe en el presupuesto de prototipo del curso ($3,000 MXN)? (1 estación)</t>
  </si>
  <si>
    <t>★ = componente crítico (se analiza en la sección 5 de la página). Precios con IVA según cada tienda; el precio a volumen usa el descuento publicado por la tienda cuando existe.</t>
  </si>
  <si>
    <t>Referencia de mercado (semana 2): kits básicos de Arduino $600–900 MXN; Arduino Education Starter Kit ~$8,270 MXN. El segmento individual paga 100–400 MXN por el juego.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</si>
</sst>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US$&quot;#,##0.00;&quot;(US$&quot;#,##0.00\);\-"/>
    <numFmt numFmtId="165" formatCode="\$#,##0.00;&quot;($&quot;#,##0.00\);\-"/>
    <numFmt numFmtId="166" formatCode="0.0%"/>
    <numFmt numFmtId="167" formatCode="&quot;US$&quot;#,##0.0000"/>
    <numFmt numFmtId="168" formatCode="\$#,##0.000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color rgb="FF6B728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3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B91C1C"/>
        <bgColor rgb="FF993366"/>
      </patternFill>
    </fill>
    <fill>
      <patternFill patternType="solid">
        <fgColor rgb="FFFFF59D"/>
        <bgColor rgb="FFF3F4F6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7" fillId="4" borderId="1" xfId="0" applyFont="1" applyFill="1" applyBorder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3" fontId="5" fillId="3" borderId="1" xfId="0" applyNumberFormat="1" applyFont="1" applyFill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6" fillId="0" borderId="0" xfId="0" applyFont="1"/>
    <xf numFmtId="165" fontId="4" fillId="0" borderId="1" xfId="0" applyNumberFormat="1" applyFont="1" applyBorder="1"/>
    <xf numFmtId="164" fontId="4" fillId="0" borderId="1" xfId="0" applyNumberFormat="1" applyFont="1" applyBorder="1"/>
    <xf numFmtId="164" fontId="5" fillId="3" borderId="1" xfId="0" applyNumberFormat="1" applyFont="1" applyFill="1" applyBorder="1"/>
    <xf numFmtId="0" fontId="7" fillId="4" borderId="1" xfId="0" applyFont="1" applyFill="1" applyBorder="1"/>
    <xf numFmtId="0" fontId="0" fillId="4" borderId="1" xfId="0" applyFill="1" applyBorder="1"/>
    <xf numFmtId="164" fontId="7" fillId="4" borderId="1" xfId="0" applyNumberFormat="1" applyFont="1" applyFill="1" applyBorder="1"/>
    <xf numFmtId="165" fontId="7" fillId="4" borderId="1" xfId="0" applyNumberFormat="1" applyFont="1" applyFill="1" applyBorder="1"/>
    <xf numFmtId="0" fontId="8" fillId="0" borderId="0" xfId="0" applyFont="1"/>
    <xf numFmtId="167" fontId="4" fillId="0" borderId="1" xfId="0" applyNumberFormat="1" applyFont="1" applyBorder="1"/>
    <xf numFmtId="168" fontId="4" fillId="0" borderId="1" xfId="0" applyNumberFormat="1" applyFont="1" applyBorder="1"/>
    <xf numFmtId="0" fontId="4" fillId="0" borderId="0" xfId="0" applyFont="1"/>
    <xf numFmtId="166" fontId="4" fillId="0" borderId="1" xfId="0" applyNumberFormat="1" applyFont="1" applyBorder="1"/>
    <xf numFmtId="3" fontId="4" fillId="0" borderId="1" xfId="0" applyNumberFormat="1" applyFont="1" applyBorder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5" fontId="0" fillId="0" borderId="1" xfId="0" applyNumberFormat="1" applyBorder="1"/>
    <xf numFmtId="165" fontId="5" fillId="3" borderId="1" xfId="0" applyNumberFormat="1" applyFont="1" applyFill="1" applyBorder="1" applyAlignment="1">
      <alignment vertical="top" wrapText="1"/>
    </xf>
    <xf numFmtId="3" fontId="5" fillId="4" borderId="1" xfId="0" applyNumberFormat="1" applyFont="1" applyFill="1" applyBorder="1"/>
    <xf numFmtId="166" fontId="7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Normal="100" workbookViewId="0">
      <selection activeCell="D18" sqref="D18"/>
    </sheetView>
  </sheetViews>
  <sheetFormatPr baseColWidth="10" defaultColWidth="8.7109375" defaultRowHeight="15" x14ac:dyDescent="0.25"/>
  <cols>
    <col min="1" max="1" width="48" customWidth="1"/>
    <col min="2" max="2" width="14" customWidth="1"/>
    <col min="3" max="3" width="24" customWidth="1"/>
    <col min="4" max="4" width="95" customWidth="1"/>
  </cols>
  <sheetData>
    <row r="1" spans="1:4" ht="18" x14ac:dyDescent="0.25">
      <c r="A1" s="2" t="s">
        <v>0</v>
      </c>
    </row>
    <row r="2" spans="1:4" x14ac:dyDescent="0.25">
      <c r="A2" s="3" t="s">
        <v>1</v>
      </c>
    </row>
    <row r="4" spans="1:4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5">
      <c r="A5" s="5" t="s">
        <v>6</v>
      </c>
      <c r="B5" s="6">
        <v>17.5</v>
      </c>
      <c r="C5" s="5" t="s">
        <v>7</v>
      </c>
      <c r="D5" s="5" t="s">
        <v>8</v>
      </c>
    </row>
    <row r="6" spans="1:4" x14ac:dyDescent="0.25">
      <c r="A6" s="5" t="s">
        <v>9</v>
      </c>
      <c r="B6" s="7">
        <v>1</v>
      </c>
      <c r="C6" s="5" t="s">
        <v>10</v>
      </c>
      <c r="D6" s="5" t="s">
        <v>11</v>
      </c>
    </row>
    <row r="7" spans="1:4" x14ac:dyDescent="0.25">
      <c r="A7" s="5" t="s">
        <v>12</v>
      </c>
      <c r="B7" s="7">
        <v>5</v>
      </c>
      <c r="C7" s="5" t="s">
        <v>10</v>
      </c>
      <c r="D7" s="5" t="s">
        <v>13</v>
      </c>
    </row>
    <row r="8" spans="1:4" x14ac:dyDescent="0.25">
      <c r="A8" s="5" t="s">
        <v>14</v>
      </c>
      <c r="B8" s="8">
        <v>3000</v>
      </c>
      <c r="C8" s="5" t="s">
        <v>15</v>
      </c>
      <c r="D8" s="5" t="s">
        <v>16</v>
      </c>
    </row>
    <row r="9" spans="1:4" x14ac:dyDescent="0.25">
      <c r="A9" s="5" t="s">
        <v>17</v>
      </c>
      <c r="B9" s="8">
        <v>400</v>
      </c>
      <c r="C9" s="5" t="s">
        <v>15</v>
      </c>
      <c r="D9" s="5" t="s">
        <v>18</v>
      </c>
    </row>
    <row r="10" spans="1:4" x14ac:dyDescent="0.25">
      <c r="A10" s="5" t="s">
        <v>19</v>
      </c>
      <c r="B10" s="8">
        <v>300</v>
      </c>
      <c r="C10" s="5" t="s">
        <v>20</v>
      </c>
      <c r="D10" s="5" t="s">
        <v>21</v>
      </c>
    </row>
    <row r="11" spans="1:4" x14ac:dyDescent="0.25">
      <c r="A11" s="5" t="s">
        <v>22</v>
      </c>
      <c r="B11" s="9">
        <v>20</v>
      </c>
      <c r="C11" s="5" t="s">
        <v>23</v>
      </c>
      <c r="D11" s="5" t="s">
        <v>24</v>
      </c>
    </row>
    <row r="12" spans="1:4" x14ac:dyDescent="0.25">
      <c r="A12" s="5" t="s">
        <v>25</v>
      </c>
      <c r="B12" s="10">
        <v>249</v>
      </c>
      <c r="C12" s="5" t="s">
        <v>26</v>
      </c>
      <c r="D12" s="5" t="s">
        <v>27</v>
      </c>
    </row>
    <row r="13" spans="1:4" x14ac:dyDescent="0.25">
      <c r="A13" s="5" t="s">
        <v>28</v>
      </c>
      <c r="B13" s="11">
        <v>0.3</v>
      </c>
      <c r="C13" s="5" t="s">
        <v>29</v>
      </c>
      <c r="D13" s="5" t="s">
        <v>30</v>
      </c>
    </row>
    <row r="14" spans="1:4" x14ac:dyDescent="0.25">
      <c r="A14" s="5" t="s">
        <v>31</v>
      </c>
      <c r="B14" s="11">
        <v>0.3</v>
      </c>
      <c r="C14" s="5" t="s">
        <v>32</v>
      </c>
      <c r="D14" s="5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zoomScaleNormal="100" workbookViewId="0"/>
  </sheetViews>
  <sheetFormatPr baseColWidth="10" defaultColWidth="8.7109375" defaultRowHeight="15" x14ac:dyDescent="0.25"/>
  <cols>
    <col min="1" max="1" width="70" customWidth="1"/>
    <col min="2" max="2" width="44" customWidth="1"/>
    <col min="3" max="4" width="14" customWidth="1"/>
    <col min="5" max="5" width="20" customWidth="1"/>
    <col min="6" max="6" width="100" customWidth="1"/>
  </cols>
  <sheetData>
    <row r="1" spans="1:6" ht="16.5" x14ac:dyDescent="0.25">
      <c r="A1" s="12" t="s">
        <v>34</v>
      </c>
    </row>
    <row r="3" spans="1:6" x14ac:dyDescent="0.25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5</v>
      </c>
    </row>
    <row r="4" spans="1:6" x14ac:dyDescent="0.25">
      <c r="A4" s="5" t="s">
        <v>40</v>
      </c>
      <c r="B4" s="5" t="s">
        <v>41</v>
      </c>
      <c r="C4" s="7">
        <v>0</v>
      </c>
      <c r="D4" s="13">
        <f>C4*Supuestos!$B$5</f>
        <v>0</v>
      </c>
      <c r="E4" s="5" t="s">
        <v>42</v>
      </c>
      <c r="F4" s="5" t="s">
        <v>43</v>
      </c>
    </row>
    <row r="5" spans="1:6" x14ac:dyDescent="0.25">
      <c r="A5" s="5" t="s">
        <v>44</v>
      </c>
      <c r="B5" s="5" t="s">
        <v>45</v>
      </c>
      <c r="C5" s="7">
        <v>0</v>
      </c>
      <c r="D5" s="13">
        <f>C5*Supuestos!$B$5</f>
        <v>0</v>
      </c>
      <c r="E5" s="5" t="s">
        <v>42</v>
      </c>
      <c r="F5" s="5" t="s">
        <v>46</v>
      </c>
    </row>
    <row r="6" spans="1:6" x14ac:dyDescent="0.25">
      <c r="A6" s="5" t="s">
        <v>47</v>
      </c>
      <c r="B6" s="5" t="s">
        <v>48</v>
      </c>
      <c r="C6" s="7">
        <v>0</v>
      </c>
      <c r="D6" s="13">
        <f>C6*Supuestos!$B$5</f>
        <v>0</v>
      </c>
      <c r="E6" s="5" t="s">
        <v>42</v>
      </c>
      <c r="F6" s="5" t="s">
        <v>49</v>
      </c>
    </row>
    <row r="7" spans="1:6" x14ac:dyDescent="0.25">
      <c r="A7" s="5" t="s">
        <v>50</v>
      </c>
      <c r="B7" s="5" t="s">
        <v>51</v>
      </c>
      <c r="C7" s="7">
        <v>0</v>
      </c>
      <c r="D7" s="13">
        <f>C7*Supuestos!$B$5</f>
        <v>0</v>
      </c>
      <c r="E7" s="5" t="s">
        <v>52</v>
      </c>
      <c r="F7" s="5" t="s">
        <v>53</v>
      </c>
    </row>
    <row r="8" spans="1:6" x14ac:dyDescent="0.25">
      <c r="A8" s="5" t="s">
        <v>54</v>
      </c>
      <c r="B8" s="5" t="s">
        <v>55</v>
      </c>
      <c r="C8" s="14">
        <f>Supuestos!B11*B23</f>
        <v>30</v>
      </c>
      <c r="D8" s="13">
        <f>C8*Supuestos!$B$5</f>
        <v>525</v>
      </c>
      <c r="E8" s="5" t="s">
        <v>52</v>
      </c>
      <c r="F8" s="5" t="s">
        <v>56</v>
      </c>
    </row>
    <row r="9" spans="1:6" x14ac:dyDescent="0.25">
      <c r="A9" s="5" t="s">
        <v>57</v>
      </c>
      <c r="B9" s="5" t="s">
        <v>58</v>
      </c>
      <c r="C9" s="7">
        <v>0</v>
      </c>
      <c r="D9" s="13">
        <f>C9*Supuestos!$B$5</f>
        <v>0</v>
      </c>
      <c r="E9" s="5" t="s">
        <v>42</v>
      </c>
      <c r="F9" s="5" t="s">
        <v>59</v>
      </c>
    </row>
    <row r="10" spans="1:6" x14ac:dyDescent="0.25">
      <c r="A10" s="5" t="s">
        <v>60</v>
      </c>
      <c r="B10" s="5" t="s">
        <v>61</v>
      </c>
      <c r="C10" s="7">
        <v>0</v>
      </c>
      <c r="D10" s="13">
        <f>C10*Supuestos!$B$5</f>
        <v>0</v>
      </c>
      <c r="E10" s="5" t="s">
        <v>52</v>
      </c>
      <c r="F10" s="5" t="s">
        <v>62</v>
      </c>
    </row>
    <row r="11" spans="1:6" x14ac:dyDescent="0.25">
      <c r="A11" s="5" t="s">
        <v>63</v>
      </c>
      <c r="B11" s="5" t="s">
        <v>64</v>
      </c>
      <c r="C11" s="15">
        <v>15</v>
      </c>
      <c r="D11" s="13">
        <f>C11*Supuestos!$B$5</f>
        <v>262.5</v>
      </c>
      <c r="E11" s="5" t="s">
        <v>65</v>
      </c>
      <c r="F11" s="5" t="s">
        <v>66</v>
      </c>
    </row>
    <row r="12" spans="1:6" x14ac:dyDescent="0.25">
      <c r="A12" s="5" t="s">
        <v>67</v>
      </c>
      <c r="B12" s="5" t="s">
        <v>68</v>
      </c>
      <c r="C12" s="7">
        <v>25</v>
      </c>
      <c r="D12" s="13">
        <f>C12*Supuestos!$B$5</f>
        <v>437.5</v>
      </c>
      <c r="E12" s="5" t="s">
        <v>69</v>
      </c>
      <c r="F12" s="5" t="s">
        <v>70</v>
      </c>
    </row>
    <row r="13" spans="1:6" x14ac:dyDescent="0.25">
      <c r="A13" s="5" t="s">
        <v>71</v>
      </c>
      <c r="B13" s="5" t="s">
        <v>72</v>
      </c>
      <c r="C13" s="7">
        <v>100</v>
      </c>
      <c r="D13" s="13">
        <f>C13*Supuestos!$B$5</f>
        <v>1750</v>
      </c>
      <c r="E13" s="5" t="s">
        <v>65</v>
      </c>
      <c r="F13" s="5" t="s">
        <v>73</v>
      </c>
    </row>
    <row r="14" spans="1:6" x14ac:dyDescent="0.25">
      <c r="A14" s="16" t="s">
        <v>74</v>
      </c>
      <c r="B14" s="17"/>
      <c r="C14" s="18">
        <f>SUMIFS(C4:C13,E4:E13,"Piloto")+SUMIFS(C4:C13,E4:E13,"—")</f>
        <v>30</v>
      </c>
      <c r="D14" s="19">
        <f>C14*Supuestos!$B$5</f>
        <v>525</v>
      </c>
      <c r="E14" s="17"/>
      <c r="F14" s="17"/>
    </row>
    <row r="15" spans="1:6" x14ac:dyDescent="0.25">
      <c r="A15" s="16" t="s">
        <v>75</v>
      </c>
      <c r="B15" s="17"/>
      <c r="C15" s="18">
        <f>SUM(C4:C13)</f>
        <v>170</v>
      </c>
      <c r="D15" s="19">
        <f>C15*Supuestos!$B$5</f>
        <v>2975</v>
      </c>
      <c r="E15" s="17"/>
      <c r="F15" s="17"/>
    </row>
    <row r="18" spans="1:2" ht="15.75" x14ac:dyDescent="0.25">
      <c r="A18" s="20" t="s">
        <v>76</v>
      </c>
    </row>
    <row r="20" spans="1:2" x14ac:dyDescent="0.25">
      <c r="A20" s="5" t="s">
        <v>77</v>
      </c>
      <c r="B20" s="21">
        <f>(Supuestos!B8*Supuestos!B6+Supuestos!B9*Supuestos!B7)/1000000</f>
        <v>5.0000000000000001E-3</v>
      </c>
    </row>
    <row r="21" spans="1:2" x14ac:dyDescent="0.25">
      <c r="A21" s="5" t="s">
        <v>78</v>
      </c>
      <c r="B21" s="22">
        <f>B20*Supuestos!B5</f>
        <v>8.7500000000000008E-2</v>
      </c>
    </row>
    <row r="22" spans="1:2" x14ac:dyDescent="0.25">
      <c r="A22" s="23"/>
    </row>
    <row r="23" spans="1:2" x14ac:dyDescent="0.25">
      <c r="A23" s="5" t="s">
        <v>79</v>
      </c>
      <c r="B23" s="14">
        <f>B20*Supuestos!B10</f>
        <v>1.5</v>
      </c>
    </row>
    <row r="24" spans="1:2" x14ac:dyDescent="0.25">
      <c r="A24" s="5" t="s">
        <v>80</v>
      </c>
      <c r="B24" s="13">
        <f>B23*Supuestos!B5</f>
        <v>26.25</v>
      </c>
    </row>
    <row r="25" spans="1:2" x14ac:dyDescent="0.25">
      <c r="A25" s="5" t="s">
        <v>81</v>
      </c>
      <c r="B25" s="13">
        <f>Supuestos!B12*(1-Supuestos!B13)</f>
        <v>174.29999999999998</v>
      </c>
    </row>
    <row r="26" spans="1:2" x14ac:dyDescent="0.25">
      <c r="A26" s="5" t="s">
        <v>82</v>
      </c>
      <c r="B26" s="24">
        <f>IF(B25=0,0,B24/B25)</f>
        <v>0.15060240963855423</v>
      </c>
    </row>
    <row r="27" spans="1:2" x14ac:dyDescent="0.25">
      <c r="A27" s="5" t="s">
        <v>83</v>
      </c>
      <c r="B27" s="24">
        <f>B26*10</f>
        <v>1.5060240963855422</v>
      </c>
    </row>
    <row r="28" spans="1:2" x14ac:dyDescent="0.25">
      <c r="A28" s="5" t="s">
        <v>84</v>
      </c>
      <c r="B28" s="25">
        <f>IF(B20=0,0,0.1*B25/Supuestos!B5/B20)</f>
        <v>199.2</v>
      </c>
    </row>
    <row r="30" spans="1:2" x14ac:dyDescent="0.25">
      <c r="A30" s="3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34" customWidth="1"/>
    <col min="3" max="3" width="18" customWidth="1"/>
    <col min="4" max="4" width="44" customWidth="1"/>
    <col min="5" max="5" width="13" customWidth="1"/>
    <col min="6" max="6" width="14" customWidth="1"/>
    <col min="7" max="7" width="10" customWidth="1"/>
    <col min="8" max="8" width="15" customWidth="1"/>
    <col min="9" max="9" width="34" customWidth="1"/>
    <col min="10" max="10" width="12" customWidth="1"/>
    <col min="11" max="11" width="48" customWidth="1"/>
  </cols>
  <sheetData>
    <row r="1" spans="1:11" ht="16.5" x14ac:dyDescent="0.25">
      <c r="A1" s="12" t="s">
        <v>86</v>
      </c>
    </row>
    <row r="3" spans="1:11" ht="45" x14ac:dyDescent="0.25">
      <c r="A3" s="26" t="s">
        <v>87</v>
      </c>
      <c r="B3" s="26" t="s">
        <v>88</v>
      </c>
      <c r="C3" s="26" t="s">
        <v>89</v>
      </c>
      <c r="D3" s="26" t="s">
        <v>90</v>
      </c>
      <c r="E3" s="26" t="s">
        <v>91</v>
      </c>
      <c r="F3" s="26" t="s">
        <v>92</v>
      </c>
      <c r="G3" s="26" t="s">
        <v>93</v>
      </c>
      <c r="H3" s="26" t="s">
        <v>94</v>
      </c>
      <c r="I3" s="26" t="s">
        <v>95</v>
      </c>
      <c r="J3" s="26" t="s">
        <v>96</v>
      </c>
      <c r="K3" s="26" t="s">
        <v>97</v>
      </c>
    </row>
    <row r="4" spans="1:11" ht="42.75" x14ac:dyDescent="0.25">
      <c r="A4" s="27" t="s">
        <v>98</v>
      </c>
      <c r="B4" s="27" t="s">
        <v>99</v>
      </c>
      <c r="C4" s="27" t="s">
        <v>100</v>
      </c>
      <c r="D4" s="27" t="s">
        <v>101</v>
      </c>
      <c r="E4" s="28">
        <v>188</v>
      </c>
      <c r="F4" s="28">
        <v>188</v>
      </c>
      <c r="G4" s="29">
        <v>1</v>
      </c>
      <c r="H4" s="30">
        <f t="shared" ref="H4:H15" si="0">F4*G4</f>
        <v>188</v>
      </c>
      <c r="I4" s="27" t="s">
        <v>102</v>
      </c>
      <c r="J4" s="27" t="s">
        <v>103</v>
      </c>
      <c r="K4" s="27" t="s">
        <v>104</v>
      </c>
    </row>
    <row r="5" spans="1:11" ht="28.5" x14ac:dyDescent="0.25">
      <c r="A5" s="27" t="s">
        <v>105</v>
      </c>
      <c r="B5" s="27" t="s">
        <v>106</v>
      </c>
      <c r="C5" s="27" t="s">
        <v>107</v>
      </c>
      <c r="D5" s="27" t="s">
        <v>108</v>
      </c>
      <c r="E5" s="28">
        <v>70</v>
      </c>
      <c r="F5" s="28">
        <v>68</v>
      </c>
      <c r="G5" s="29">
        <v>1</v>
      </c>
      <c r="H5" s="30">
        <f t="shared" si="0"/>
        <v>68</v>
      </c>
      <c r="I5" s="27" t="s">
        <v>109</v>
      </c>
      <c r="J5" s="27" t="s">
        <v>103</v>
      </c>
      <c r="K5" s="27" t="s">
        <v>110</v>
      </c>
    </row>
    <row r="6" spans="1:11" ht="42.75" x14ac:dyDescent="0.25">
      <c r="A6" s="27" t="s">
        <v>111</v>
      </c>
      <c r="B6" s="27" t="s">
        <v>112</v>
      </c>
      <c r="C6" s="27" t="s">
        <v>107</v>
      </c>
      <c r="D6" s="27" t="s">
        <v>113</v>
      </c>
      <c r="E6" s="28">
        <v>195</v>
      </c>
      <c r="F6" s="28">
        <v>195</v>
      </c>
      <c r="G6" s="29">
        <v>1</v>
      </c>
      <c r="H6" s="30">
        <f t="shared" si="0"/>
        <v>195</v>
      </c>
      <c r="I6" s="27" t="s">
        <v>114</v>
      </c>
      <c r="J6" s="27" t="s">
        <v>103</v>
      </c>
      <c r="K6" s="27" t="s">
        <v>115</v>
      </c>
    </row>
    <row r="7" spans="1:11" ht="28.5" x14ac:dyDescent="0.25">
      <c r="A7" s="27" t="s">
        <v>116</v>
      </c>
      <c r="B7" s="27" t="s">
        <v>117</v>
      </c>
      <c r="C7" s="27" t="s">
        <v>107</v>
      </c>
      <c r="D7" s="27" t="s">
        <v>118</v>
      </c>
      <c r="E7" s="28">
        <v>63</v>
      </c>
      <c r="F7" s="28">
        <v>55</v>
      </c>
      <c r="G7" s="29">
        <v>1</v>
      </c>
      <c r="H7" s="30">
        <f t="shared" si="0"/>
        <v>55</v>
      </c>
      <c r="I7" s="27" t="s">
        <v>119</v>
      </c>
      <c r="J7" s="27" t="s">
        <v>103</v>
      </c>
      <c r="K7" s="27" t="s">
        <v>120</v>
      </c>
    </row>
    <row r="8" spans="1:11" ht="28.5" x14ac:dyDescent="0.25">
      <c r="A8" s="27" t="s">
        <v>121</v>
      </c>
      <c r="B8" s="27" t="s">
        <v>122</v>
      </c>
      <c r="C8" s="27" t="s">
        <v>123</v>
      </c>
      <c r="D8" s="27" t="s">
        <v>124</v>
      </c>
      <c r="E8" s="28">
        <v>70</v>
      </c>
      <c r="F8" s="28">
        <v>63</v>
      </c>
      <c r="G8" s="29">
        <v>1</v>
      </c>
      <c r="H8" s="30">
        <f t="shared" si="0"/>
        <v>63</v>
      </c>
      <c r="I8" s="27" t="s">
        <v>125</v>
      </c>
      <c r="J8" s="27" t="s">
        <v>103</v>
      </c>
      <c r="K8" s="27" t="s">
        <v>126</v>
      </c>
    </row>
    <row r="9" spans="1:11" ht="28.5" x14ac:dyDescent="0.25">
      <c r="A9" s="27" t="s">
        <v>127</v>
      </c>
      <c r="B9" s="27" t="s">
        <v>128</v>
      </c>
      <c r="C9" s="27" t="s">
        <v>100</v>
      </c>
      <c r="D9" s="27" t="s">
        <v>129</v>
      </c>
      <c r="E9" s="28">
        <v>34</v>
      </c>
      <c r="F9" s="28">
        <v>34</v>
      </c>
      <c r="G9" s="29">
        <v>1</v>
      </c>
      <c r="H9" s="30">
        <f t="shared" si="0"/>
        <v>34</v>
      </c>
      <c r="I9" s="27" t="s">
        <v>130</v>
      </c>
      <c r="J9" s="27" t="s">
        <v>103</v>
      </c>
      <c r="K9" s="27" t="s">
        <v>131</v>
      </c>
    </row>
    <row r="10" spans="1:11" ht="28.5" x14ac:dyDescent="0.25">
      <c r="A10" s="27" t="s">
        <v>132</v>
      </c>
      <c r="B10" s="27" t="s">
        <v>133</v>
      </c>
      <c r="C10" s="27" t="s">
        <v>100</v>
      </c>
      <c r="D10" s="27" t="s">
        <v>134</v>
      </c>
      <c r="E10" s="28">
        <v>42</v>
      </c>
      <c r="F10" s="28">
        <v>35.96</v>
      </c>
      <c r="G10" s="29">
        <v>1</v>
      </c>
      <c r="H10" s="30">
        <f t="shared" si="0"/>
        <v>35.96</v>
      </c>
      <c r="I10" s="27" t="s">
        <v>135</v>
      </c>
      <c r="J10" s="27" t="s">
        <v>103</v>
      </c>
      <c r="K10" s="27" t="s">
        <v>136</v>
      </c>
    </row>
    <row r="11" spans="1:11" ht="28.5" x14ac:dyDescent="0.25">
      <c r="A11" s="27" t="s">
        <v>137</v>
      </c>
      <c r="B11" s="27" t="s">
        <v>138</v>
      </c>
      <c r="C11" s="27" t="s">
        <v>100</v>
      </c>
      <c r="D11" s="27" t="s">
        <v>139</v>
      </c>
      <c r="E11" s="28">
        <v>76</v>
      </c>
      <c r="F11" s="28">
        <v>76</v>
      </c>
      <c r="G11" s="29">
        <v>1</v>
      </c>
      <c r="H11" s="30">
        <f t="shared" si="0"/>
        <v>76</v>
      </c>
      <c r="I11" s="27" t="s">
        <v>140</v>
      </c>
      <c r="J11" s="27" t="s">
        <v>103</v>
      </c>
      <c r="K11" s="27" t="s">
        <v>141</v>
      </c>
    </row>
    <row r="12" spans="1:11" ht="28.5" x14ac:dyDescent="0.25">
      <c r="A12" s="27" t="s">
        <v>142</v>
      </c>
      <c r="B12" s="27" t="s">
        <v>143</v>
      </c>
      <c r="C12" s="27" t="s">
        <v>144</v>
      </c>
      <c r="D12" s="27" t="s">
        <v>145</v>
      </c>
      <c r="E12" s="31">
        <v>50</v>
      </c>
      <c r="F12" s="31">
        <v>50</v>
      </c>
      <c r="G12" s="29">
        <v>1</v>
      </c>
      <c r="H12" s="30">
        <f t="shared" si="0"/>
        <v>50</v>
      </c>
      <c r="I12" s="27" t="s">
        <v>146</v>
      </c>
      <c r="J12" s="27" t="s">
        <v>147</v>
      </c>
      <c r="K12" s="27" t="s">
        <v>148</v>
      </c>
    </row>
    <row r="13" spans="1:11" x14ac:dyDescent="0.25">
      <c r="A13" s="27" t="s">
        <v>149</v>
      </c>
      <c r="B13" s="27" t="s">
        <v>150</v>
      </c>
      <c r="C13" s="27" t="s">
        <v>151</v>
      </c>
      <c r="D13" s="27"/>
      <c r="E13" s="31">
        <v>60</v>
      </c>
      <c r="F13" s="31">
        <v>60</v>
      </c>
      <c r="G13" s="29">
        <v>1</v>
      </c>
      <c r="H13" s="30">
        <f t="shared" si="0"/>
        <v>60</v>
      </c>
      <c r="I13" s="27" t="s">
        <v>152</v>
      </c>
      <c r="J13" s="27" t="s">
        <v>147</v>
      </c>
      <c r="K13" s="27" t="s">
        <v>153</v>
      </c>
    </row>
    <row r="14" spans="1:11" ht="28.5" x14ac:dyDescent="0.25">
      <c r="A14" s="27" t="s">
        <v>154</v>
      </c>
      <c r="B14" s="27" t="s">
        <v>155</v>
      </c>
      <c r="C14" s="27" t="s">
        <v>156</v>
      </c>
      <c r="D14" s="27"/>
      <c r="E14" s="31">
        <v>80</v>
      </c>
      <c r="F14" s="31">
        <v>80</v>
      </c>
      <c r="G14" s="29">
        <v>1</v>
      </c>
      <c r="H14" s="30">
        <f t="shared" si="0"/>
        <v>80</v>
      </c>
      <c r="I14" s="27" t="s">
        <v>152</v>
      </c>
      <c r="J14" s="27" t="s">
        <v>147</v>
      </c>
      <c r="K14" s="27" t="s">
        <v>42</v>
      </c>
    </row>
    <row r="15" spans="1:11" ht="28.5" x14ac:dyDescent="0.25">
      <c r="A15" s="27" t="s">
        <v>157</v>
      </c>
      <c r="B15" s="27" t="s">
        <v>158</v>
      </c>
      <c r="C15" s="27" t="s">
        <v>156</v>
      </c>
      <c r="D15" s="27"/>
      <c r="E15" s="31">
        <v>60</v>
      </c>
      <c r="F15" s="31">
        <v>60</v>
      </c>
      <c r="G15" s="29">
        <v>1</v>
      </c>
      <c r="H15" s="30">
        <f t="shared" si="0"/>
        <v>60</v>
      </c>
      <c r="I15" s="27" t="s">
        <v>152</v>
      </c>
      <c r="J15" s="27" t="s">
        <v>147</v>
      </c>
      <c r="K15" s="27" t="s">
        <v>159</v>
      </c>
    </row>
    <row r="17" spans="1:8" x14ac:dyDescent="0.25">
      <c r="A17" s="1" t="s">
        <v>160</v>
      </c>
      <c r="B17" s="1"/>
      <c r="C17" s="1"/>
      <c r="D17" s="1"/>
      <c r="E17" s="1"/>
      <c r="F17" s="1"/>
      <c r="G17" s="1"/>
      <c r="H17" s="32">
        <v>10</v>
      </c>
    </row>
    <row r="18" spans="1:8" x14ac:dyDescent="0.25">
      <c r="A18" s="1" t="s">
        <v>161</v>
      </c>
      <c r="B18" s="1"/>
      <c r="C18" s="1"/>
      <c r="D18" s="1"/>
      <c r="E18" s="1"/>
      <c r="F18" s="1"/>
      <c r="G18" s="1"/>
      <c r="H18" s="19">
        <f>SUM(H4:H15)</f>
        <v>964.96</v>
      </c>
    </row>
    <row r="19" spans="1:8" x14ac:dyDescent="0.25">
      <c r="A19" s="1" t="s">
        <v>162</v>
      </c>
      <c r="B19" s="1"/>
      <c r="C19" s="1"/>
      <c r="D19" s="1"/>
      <c r="E19" s="1"/>
      <c r="F19" s="1"/>
      <c r="G19" s="1"/>
      <c r="H19" s="19">
        <f>H18*H17</f>
        <v>9649.6</v>
      </c>
    </row>
    <row r="20" spans="1:8" x14ac:dyDescent="0.25">
      <c r="A20" s="1" t="s">
        <v>163</v>
      </c>
      <c r="B20" s="1"/>
      <c r="C20" s="1"/>
      <c r="D20" s="1"/>
      <c r="E20" s="1"/>
      <c r="F20" s="1"/>
      <c r="G20" s="1"/>
      <c r="H20" s="19">
        <f>H18/Supuestos!B14</f>
        <v>3216.5333333333338</v>
      </c>
    </row>
    <row r="21" spans="1:8" x14ac:dyDescent="0.25">
      <c r="A21" s="1" t="s">
        <v>164</v>
      </c>
      <c r="B21" s="1"/>
      <c r="C21" s="1"/>
      <c r="D21" s="1"/>
      <c r="E21" s="1"/>
      <c r="F21" s="1"/>
      <c r="G21" s="1"/>
      <c r="H21" s="33">
        <f>SUMIFS(H4:H15,J4:J15,"Verificado")/H18</f>
        <v>0.74092190349859066</v>
      </c>
    </row>
    <row r="22" spans="1:8" x14ac:dyDescent="0.25">
      <c r="A22" s="1" t="s">
        <v>165</v>
      </c>
      <c r="B22" s="1"/>
      <c r="C22" s="1"/>
      <c r="D22" s="1"/>
      <c r="E22" s="1"/>
      <c r="F22" s="1"/>
      <c r="G22" s="1"/>
      <c r="H22" s="16" t="str">
        <f>IF(H18&lt;=3000,"Sí","No")</f>
        <v>Sí</v>
      </c>
    </row>
    <row r="24" spans="1:8" x14ac:dyDescent="0.25">
      <c r="A24" s="3" t="s">
        <v>166</v>
      </c>
    </row>
    <row r="25" spans="1:8" x14ac:dyDescent="0.25">
      <c r="A25" s="3" t="s">
        <v>167</v>
      </c>
    </row>
  </sheetData>
  <mergeCells count="6">
    <mergeCell ref="A22:G22"/>
    <mergeCell ref="A17:G17"/>
    <mergeCell ref="A18:G18"/>
    <mergeCell ref="A19:G19"/>
    <mergeCell ref="A20:G20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Supuestos</vt:lpstr>
      <vt:lpstr>Software (1a iteración)</vt:lpstr>
      <vt:lpstr>Estación (fase 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Yael Vázquez</cp:lastModifiedBy>
  <cp:revision>0</cp:revision>
  <dcterms:created xsi:type="dcterms:W3CDTF">2026-09-25T03:34:31Z</dcterms:created>
  <dcterms:modified xsi:type="dcterms:W3CDTF">2026-09-25T04:25:06Z</dcterms:modified>
  <dc:language>en-US</dc:language>
</cp:coreProperties>
</file>