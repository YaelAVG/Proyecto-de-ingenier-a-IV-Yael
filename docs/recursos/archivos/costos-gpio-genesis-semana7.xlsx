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Inventario" sheetId="3" state="visible" r:id="rId5"/>
    <sheet name="Costo IA" sheetId="4" state="visible" r:id="rId6"/>
    <sheet name="Costos DFS" sheetId="5" state="visible" r:id="rId7"/>
    <sheet name="Desarrol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<sst xmlns="http://schemas.openxmlformats.org/spreadsheetml/2006/main" count="345" uniqueCount="251">
  <si>
    <t xml:space="preserve">Resumen del Bloque 3 — GPIO Génesis</t>
  </si>
  <si>
    <t xml:space="preserve">Lo que el equipo debe poder responder (checklist de la semana 7)</t>
  </si>
  <si>
    <t xml:space="preserve">Concepto (MXN)</t>
  </si>
  <si>
    <t xml:space="preserve">Variable por copia (IA + comisión)</t>
  </si>
  <si>
    <t xml:space="preserve">Fijo 12 meses — piloto (lo marcado 'Incluir')</t>
  </si>
  <si>
    <t xml:space="preserve">Fijo 12 meses — lanzamiento (todo incluido, sin desarrollo)</t>
  </si>
  <si>
    <t xml:space="preserve">Desarrollo (promedio de 5 ciclos, con horas)</t>
  </si>
  <si>
    <t xml:space="preserve">COSTO UNITARIO — piloto</t>
  </si>
  <si>
    <t xml:space="preserve">COSTO UNITARIO — lanzamiento</t>
  </si>
  <si>
    <t xml:space="preserve">COSTO UNITARIO — lanzamiento + desarrollo</t>
  </si>
  <si>
    <t xml:space="preserve">Precio de venta (provisional)</t>
  </si>
  <si>
    <t xml:space="preserve">Margen por copia — lanzamiento</t>
  </si>
  <si>
    <t xml:space="preserve">Margen por copia — lanzamiento + desarrollo</t>
  </si>
  <si>
    <t xml:space="preserve">Respuestas rápidas</t>
  </si>
  <si>
    <t xml:space="preserve">Costo unitario a 10 copias (piloto / lanzamiento)</t>
  </si>
  <si>
    <t xml:space="preserve">Costo de IA por jugador, todo el juego (modelo base)</t>
  </si>
  <si>
    <t xml:space="preserve">Costo de IA por usuario activo al mes — fórmula del curso (30 días)</t>
  </si>
  <si>
    <t xml:space="preserve">Costo de IA por usuario activo al mes — días de juego reales</t>
  </si>
  <si>
    <t xml:space="preserve">IA como % del ingreso neto por copia</t>
  </si>
  <si>
    <t xml:space="preserve">Presupuesto de desarrollo recomendado (promedio)</t>
  </si>
  <si>
    <t xml:space="preserve">De ese presupuesto, dinero real (sin horas)</t>
  </si>
  <si>
    <t xml:space="preserve">Copias para cubrir desarrollo + lanzamiento (equilibrio preliminar; el cálculo formal es del Bloque 4)</t>
  </si>
  <si>
    <t xml:space="preserve">Pendiente del Bloque 4: VPN a 12 meses, punto de equilibrio formal y flujo de caja. Pendiente de ustedes: medir tokens reales, cotizar firma de código y dominio, confirmar horas por ciclo.</t>
  </si>
  <si>
    <t xml:space="preserve">Supuestos y precios — Bloque 3 (GPIO Génesis)</t>
  </si>
  <si>
    <t xml:space="preserve">Tipo de cambio (MXN por USD)</t>
  </si>
  <si>
    <t xml:space="preserve">Del proyecto (semana 5).</t>
  </si>
  <si>
    <t xml:space="preserve">Precio de venta por copia (MXN)</t>
  </si>
  <si>
    <t xml:space="preserve">Del proyecto (semana 5). El precio final se decide en el Bloque 4.</t>
  </si>
  <si>
    <t xml:space="preserve">Comisión del canal (Steam)</t>
  </si>
  <si>
    <t xml:space="preserve">Del proyecto: 30%. Verificar en la página de Steam antes de entregar.</t>
  </si>
  <si>
    <t xml:space="preserve">Tarifa por hora-persona (MXN)</t>
  </si>
  <si>
    <t xml:space="preserve">Ejemplo del curso ($80/h). Es costo de oportunidad: los estudiantes no se pagan en efectivo.</t>
  </si>
  <si>
    <t xml:space="preserve">Costos indirectos (% de los directos)</t>
  </si>
  <si>
    <t xml:space="preserve">Rango del curso: 10–20%.</t>
  </si>
  <si>
    <t xml:space="preserve">Reserva de contingencia</t>
  </si>
  <si>
    <t xml:space="preserve">Rango del curso para innovación: 25–40%.</t>
  </si>
  <si>
    <t xml:space="preserve">Horas-persona por ciclo de aprendizaje</t>
  </si>
  <si>
    <t xml:space="preserve">SUPUESTO nuestro. 5 ciclos = 400 h ≈ 29 h/semana por persona en 7 semanas: revisar.</t>
  </si>
  <si>
    <t xml:space="preserve">Consultas de ayuda por jugador (todo el juego)</t>
  </si>
  <si>
    <t xml:space="preserve">% de consultas que van a la nube (pistas 1–2 locales)</t>
  </si>
  <si>
    <t xml:space="preserve">Crítica del Prompt 6: pistas 1–2 locales, 3–4 nube.</t>
  </si>
  <si>
    <t xml:space="preserve">Tokens de entrada por consulta</t>
  </si>
  <si>
    <t xml:space="preserve">ESTIMADO (instrucciones + JSON del nivel + código + error). Medir con count_tokens.</t>
  </si>
  <si>
    <t xml:space="preserve">Tokens de salida por consulta</t>
  </si>
  <si>
    <t xml:space="preserve">ESTIMADO (respuesta de máx. 2 líneas + explicación). Medir con el campo usage.</t>
  </si>
  <si>
    <t xml:space="preserve">Factor del tokenizador (sensibilidad)</t>
  </si>
  <si>
    <t xml:space="preserve">La página del curso advierte ~30% más tokens en modelos nuevos.</t>
  </si>
  <si>
    <t xml:space="preserve">Días por mes (fórmula del curso)</t>
  </si>
  <si>
    <t xml:space="preserve">Cota superior: supone uso diario.</t>
  </si>
  <si>
    <t xml:space="preserve">Copias para el costo unitario (N)</t>
  </si>
  <si>
    <t xml:space="preserve">El checklist pide el costo unitario a 10 unidades.</t>
  </si>
  <si>
    <t xml:space="preserve">Modelo de IA base</t>
  </si>
  <si>
    <t xml:space="preserve">Claude Haiku 5.5</t>
  </si>
  <si>
    <t xml:space="preserve">Se elige de la lista. Cambia todo el modelo.</t>
  </si>
  <si>
    <t xml:space="preserve">Consultas de ayuda por día de uso</t>
  </si>
  <si>
    <t xml:space="preserve">SUPUESTO: sesión de 30–60 min. Medir en el piloto.</t>
  </si>
  <si>
    <t xml:space="preserve">Días de juego al mes (realista)</t>
  </si>
  <si>
    <t xml:space="preserve">SUPUESTO. Medir en el piloto.</t>
  </si>
  <si>
    <t xml:space="preserve">Precios de la API de Claude (USD por millón de tokens)</t>
  </si>
  <si>
    <t xml:space="preserve">Modelo</t>
  </si>
  <si>
    <t xml:space="preserve">Entrada</t>
  </si>
  <si>
    <t xml:space="preserve">Salida</t>
  </si>
  <si>
    <t xml:space="preserve">Fuente</t>
  </si>
  <si>
    <t xml:space="preserve">Claude Haiku 4.5</t>
  </si>
  <si>
    <t xml:space="preserve">Modelo que usamos en la semana 5.</t>
  </si>
  <si>
    <t xml:space="preserve">El Haiku más nuevo (≤100k tokens de prompt).</t>
  </si>
  <si>
    <t xml:space="preserve">Claude Sonnet 5.5</t>
  </si>
  <si>
    <t xml:space="preserve">Opción si el copiloto necesitara más calidad.</t>
  </si>
  <si>
    <t xml:space="preserve">Fuente: platform.claude.com/docs/en/about-claude/pricing, consultada el 9-oct-2026. La página no muestra fecha de actualización; el curso pide verificar antes de cada cálculo.</t>
  </si>
  <si>
    <t xml:space="preserve">Leyenda: azul = dato que ustedes pueden cambiar; amarillo = supuesto nuestro por confirmar; verde = viene de otra hoja; negro = fórmula.</t>
  </si>
  <si>
    <t xml:space="preserve">1. Inventario de costos — todo lo que se nos ocurrió y qué se queda</t>
  </si>
  <si>
    <t xml:space="preserve">Actividad</t>
  </si>
  <si>
    <t xml:space="preserve">Costo</t>
  </si>
  <si>
    <t xml:space="preserve">¿Indispensable para entregar la propuesta de valor?</t>
  </si>
  <si>
    <t xml:space="preserve">Por qué</t>
  </si>
  <si>
    <t xml:space="preserve">CREAR: Componentes electrónicos (BOM) y PCB</t>
  </si>
  <si>
    <t xml:space="preserve">ver hoja</t>
  </si>
  <si>
    <t xml:space="preserve">No</t>
  </si>
  <si>
    <t xml:space="preserve">Descartado en la semana 5: el producto es 100% digital.</t>
  </si>
  <si>
    <t xml:space="preserve">CREAR: Carcasa, ensamble y pruebas de hardware</t>
  </si>
  <si>
    <t xml:space="preserve">Descartado: no hay hardware.</t>
  </si>
  <si>
    <t xml:space="preserve">CREAR: Horas de programación, arte y diseño de niveles (Godot 4)</t>
  </si>
  <si>
    <t xml:space="preserve">Sí</t>
  </si>
  <si>
    <t xml:space="preserve">Es el costo dominante. Va en la hoja Desarrollo.</t>
  </si>
  <si>
    <t xml:space="preserve">CREAR: Copiloto de IA (API de Claude) y backend (Supabase)</t>
  </si>
  <si>
    <t xml:space="preserve">Es el diferenciador. Va en Costo IA y Costos DFS.</t>
  </si>
  <si>
    <t xml:space="preserve">CREAR: Motor Godot 4, assets CC0/MIT/OFL, GitHub</t>
  </si>
  <si>
    <t xml:space="preserve">Se usan gratis.</t>
  </si>
  <si>
    <t xml:space="preserve">CREAR: Firma de código de Windows</t>
  </si>
  <si>
    <t xml:space="preserve">Sí (para lanzar)</t>
  </si>
  <si>
    <t xml:space="preserve">Sin firma Windows avisa al instalar; el piloto va con guía de instalación.</t>
  </si>
  <si>
    <t xml:space="preserve">CREAR: Licencias de software de pago (arte, audio)</t>
  </si>
  <si>
    <t xml:space="preserve">Hay alternativas libres.</t>
  </si>
  <si>
    <t xml:space="preserve">DISTRIBUIR: Comisión del canal de venta (Steam / itch.io)</t>
  </si>
  <si>
    <t xml:space="preserve">Es la forma de llegar al jugador.</t>
  </si>
  <si>
    <t xml:space="preserve">DISTRIBUIR: Cuota de publicación en Steam</t>
  </si>
  <si>
    <t xml:space="preserve">Pago único.</t>
  </si>
  <si>
    <t xml:space="preserve">DISTRIBUIR: Dominio y página de venta</t>
  </si>
  <si>
    <t xml:space="preserve">Landing en GitHub Pages; dominio opcional.</t>
  </si>
  <si>
    <t xml:space="preserve">DISTRIBUIR: Soporte postventa y actualizaciones</t>
  </si>
  <si>
    <t xml:space="preserve">Casi todo es tiempo del equipo.</t>
  </si>
  <si>
    <t xml:space="preserve">DISTRIBUIR: Marketing digital de pago</t>
  </si>
  <si>
    <t xml:space="preserve">Se empieza con GitHub + YouTube orgánico (semana 4).</t>
  </si>
  <si>
    <t xml:space="preserve">DISTRIBUIR: Empaque y envío físico</t>
  </si>
  <si>
    <t xml:space="preserve">Descarga digital.</t>
  </si>
  <si>
    <t xml:space="preserve">Los 'No' no se calculan. Los 'Sí' están en las hojas siguientes.</t>
  </si>
  <si>
    <t xml:space="preserve">3. El costo que nadie calcula: la IA</t>
  </si>
  <si>
    <t xml:space="preserve">Fórmula del curso: costo mensual por usuario = llamadas/día × (tokens entrada + salida) × precio por token × 30</t>
  </si>
  <si>
    <t xml:space="preserve">Paso 1 — tokens por consulta (estimados; falta medirlos con count_tokens)</t>
  </si>
  <si>
    <t xml:space="preserve">Tokens de entrada</t>
  </si>
  <si>
    <t xml:space="preserve">Tokens de salida</t>
  </si>
  <si>
    <t xml:space="preserve">Factor del tokenizador</t>
  </si>
  <si>
    <t xml:space="preserve">Paso 2 y 3 — costo de una consulta por modelo</t>
  </si>
  <si>
    <t xml:space="preserve">Entrada USD/M</t>
  </si>
  <si>
    <t xml:space="preserve">Salida USD/M</t>
  </si>
  <si>
    <t xml:space="preserve">USD por consulta</t>
  </si>
  <si>
    <t xml:space="preserve">USD por consulta (tokenizador ×factor)</t>
  </si>
  <si>
    <t xml:space="preserve">MXN por consulta</t>
  </si>
  <si>
    <t xml:space="preserve">Costo mensual por usuario activo — fórmula del curso (×30 días), MXN</t>
  </si>
  <si>
    <t xml:space="preserve">Consultas por día</t>
  </si>
  <si>
    <t xml:space="preserve">Haiku 5.5 con tokenizador +30%</t>
  </si>
  <si>
    <t xml:space="preserve">Costo por jugador durante todo el juego (MXN) y su peso en el ingreso neto</t>
  </si>
  <si>
    <t xml:space="preserve">Escenario</t>
  </si>
  <si>
    <t xml:space="preserve">% a la nube</t>
  </si>
  <si>
    <t xml:space="preserve">Haiku 4.5 (MXN)</t>
  </si>
  <si>
    <t xml:space="preserve">Haiku 5.5 (MXN)</t>
  </si>
  <si>
    <t xml:space="preserve">Sonnet 5.5 (MXN)</t>
  </si>
  <si>
    <t xml:space="preserve">Haiku 4.5 (% ingreso neto)</t>
  </si>
  <si>
    <t xml:space="preserve">Haiku 5.5 (% ingreso neto)</t>
  </si>
  <si>
    <t xml:space="preserve">Sonnet 5.5 (% ingreso neto)</t>
  </si>
  <si>
    <t xml:space="preserve">Todas las ayudas a la nube</t>
  </si>
  <si>
    <t xml:space="preserve">Con pistas 1–2 locales</t>
  </si>
  <si>
    <t xml:space="preserve">Sensibilidad: precio de la API ×10 (todo a la nube)</t>
  </si>
  <si>
    <t xml:space="preserve">Ingreso neto por copia (MXN) = precio × (1 − comisión)</t>
  </si>
  <si>
    <t xml:space="preserve">Costo de IA por copia con el modelo base y pistas locales (MXN)</t>
  </si>
  <si>
    <t xml:space="preserve">← este valor alimenta la hoja Costos DFS</t>
  </si>
  <si>
    <t xml:space="preserve">Tarea en casa — llamadas/día × tokens × precio × usuarios objetivo (modelo base)</t>
  </si>
  <si>
    <t xml:space="preserve">USD por consulta, modelo base</t>
  </si>
  <si>
    <t xml:space="preserve">Usuarios objetivo</t>
  </si>
  <si>
    <t xml:space="preserve">MXN/mes (fórmula del curso, 30 días)</t>
  </si>
  <si>
    <t xml:space="preserve">MXN/mes (días de juego reales)</t>
  </si>
  <si>
    <t xml:space="preserve">MXN/año (días de juego reales)</t>
  </si>
  <si>
    <t xml:space="preserve">MXN/mes por usuario (días reales)</t>
  </si>
  <si>
    <t xml:space="preserve">Si se pasa de 'todo en la nube' a 'pistas locales', el costo baja por la fracción que ya no consulta a la API. Los tokens (3,000 / 400) son estimados: la conclusión depende de medirlos.</t>
  </si>
  <si>
    <t xml:space="preserve">4. Costos clasificados D / F / S (CREAR y DISTRIBUIR)</t>
  </si>
  <si>
    <t xml:space="preserve">D = crea el valor (pocos, no se recortan) · F = flexibles (se negocian o se posponen) · S = establecidos (no los controlamos). Editen las celdas azules; 'Incluir' = 1 cuenta en el piloto, 0 queda fuera (aplica solo al lanzamiento).</t>
  </si>
  <si>
    <t xml:space="preserve">#</t>
  </si>
  <si>
    <t xml:space="preserve">Concepto</t>
  </si>
  <si>
    <t xml:space="preserve">Tipo (D/F/S)</t>
  </si>
  <si>
    <t xml:space="preserve">Valor</t>
  </si>
  <si>
    <t xml:space="preserve">Moneda (USD/MXN/%)</t>
  </si>
  <si>
    <t xml:space="preserve">Frecuencia</t>
  </si>
  <si>
    <t xml:space="preserve">Incluir en piloto (1/0)</t>
  </si>
  <si>
    <t xml:space="preserve">Valor en MXN</t>
  </si>
  <si>
    <t xml:space="preserve">Fijo 12 meses MXN (bruto)</t>
  </si>
  <si>
    <t xml:space="preserve">Variable por copia MXN (bruto)</t>
  </si>
  <si>
    <t xml:space="preserve">Fijo 12 m MXN (incluido)</t>
  </si>
  <si>
    <t xml:space="preserve">Variable/copia MXN (incluido)</t>
  </si>
  <si>
    <t xml:space="preserve">Costo unitario a N copias MXN</t>
  </si>
  <si>
    <t xml:space="preserve">Fuente / estado</t>
  </si>
  <si>
    <t xml:space="preserve">Nota</t>
  </si>
  <si>
    <t xml:space="preserve">CREAR</t>
  </si>
  <si>
    <t xml:space="preserve">Copiloto IA: consultas a la API de Claude (modelo base)</t>
  </si>
  <si>
    <t xml:space="preserve">D</t>
  </si>
  <si>
    <t xml:space="preserve">MXN</t>
  </si>
  <si>
    <t xml:space="preserve">Por copia</t>
  </si>
  <si>
    <t xml:space="preserve">Hoja Costo IA (estimado)</t>
  </si>
  <si>
    <t xml:space="preserve">Costo por jugador durante todo el juego, con pistas locales. Es el diferenciador.</t>
  </si>
  <si>
    <t xml:space="preserve">Supabase plan gratuito (Auth + Postgres + Edge Function)</t>
  </si>
  <si>
    <t xml:space="preserve">F</t>
  </si>
  <si>
    <t xml:space="preserve">USD</t>
  </si>
  <si>
    <t xml:space="preserve">Mensual</t>
  </si>
  <si>
    <t xml:space="preserve">Verificado 9-oct-2026</t>
  </si>
  <si>
    <t xml:space="preserve">Gratis; se pausa tras 1 semana sin actividad. Límites: 500 MB, 50,000 MAU.</t>
  </si>
  <si>
    <t xml:space="preserve">Supabase Pro (si se pasa del plan gratuito)</t>
  </si>
  <si>
    <t xml:space="preserve">Desde $25/mes. Con 10 copias esto solo ya cuesta más que el precio de venta.</t>
  </si>
  <si>
    <t xml:space="preserve">Motor Godot 4</t>
  </si>
  <si>
    <t xml:space="preserve">Único</t>
  </si>
  <si>
    <t xml:space="preserve">Licencia MIT</t>
  </si>
  <si>
    <t xml:space="preserve">Assets CC0 y fuentes OFL</t>
  </si>
  <si>
    <t xml:space="preserve">Licencias CC0/OFL</t>
  </si>
  <si>
    <t xml:space="preserve">Anotar la licencia de cada asset.</t>
  </si>
  <si>
    <t xml:space="preserve">Herramientas de arte pixel (software libre)</t>
  </si>
  <si>
    <t xml:space="preserve">Supuesto</t>
  </si>
  <si>
    <t xml:space="preserve">Si compran una licencia, cámbienlo aquí.</t>
  </si>
  <si>
    <t xml:space="preserve">Firma de código de Windows (certificado OV)</t>
  </si>
  <si>
    <t xml:space="preserve">Anual</t>
  </si>
  <si>
    <t xml:space="preserve">ESTIMADO (revendedor, semana 5)</t>
  </si>
  <si>
    <t xml:space="preserve">Azure Artifact Signing no acepta organizaciones en México. Piloto sin firma, con guía.</t>
  </si>
  <si>
    <t xml:space="preserve">Repositorio y compilación (GitHub gratuito)</t>
  </si>
  <si>
    <t xml:space="preserve">Suscripciones de IA para desarrollar (completar)</t>
  </si>
  <si>
    <t xml:space="preserve">COMPLETAR</t>
  </si>
  <si>
    <t xml:space="preserve">Si pagan alguna, escríbanla aquí.</t>
  </si>
  <si>
    <t xml:space="preserve">Laptops de desarrollo y pruebas (ya las tienen)</t>
  </si>
  <si>
    <t xml:space="preserve">Costo de oportunidad no contado.</t>
  </si>
  <si>
    <t xml:space="preserve">Total CREAR</t>
  </si>
  <si>
    <t xml:space="preserve">DISTRIBUIR</t>
  </si>
  <si>
    <t xml:space="preserve">Comisión del canal de venta (Steam)</t>
  </si>
  <si>
    <t xml:space="preserve">S</t>
  </si>
  <si>
    <t xml:space="preserve">%</t>
  </si>
  <si>
    <t xml:space="preserve">% precio</t>
  </si>
  <si>
    <t xml:space="preserve">Del proyecto (verificar)</t>
  </si>
  <si>
    <t xml:space="preserve">30% del precio; por copia.</t>
  </si>
  <si>
    <t xml:space="preserve">Cuota de publicación en Steam</t>
  </si>
  <si>
    <t xml:space="preserve">$100 USD por producto. El piloto va por itch.io (sin cuota).</t>
  </si>
  <si>
    <t xml:space="preserve">Dominio gpiogenesis.com</t>
  </si>
  <si>
    <t xml:space="preserve">ESTIMADO (no se cotizó)</t>
  </si>
  <si>
    <t xml:space="preserve">Sin registro al 23-sep-2026. Opcional en el piloto.</t>
  </si>
  <si>
    <t xml:space="preserve">Página de venta en GitHub Pages</t>
  </si>
  <si>
    <t xml:space="preserve">Alojamiento de descargas (itch.io / GitHub Releases)</t>
  </si>
  <si>
    <t xml:space="preserve">Marketing digital orgánico (GitHub + YouTube)</t>
  </si>
  <si>
    <t xml:space="preserve">Cuesta horas, no efectivo.</t>
  </si>
  <si>
    <t xml:space="preserve">Soporte postventa (correo/Discord)</t>
  </si>
  <si>
    <t xml:space="preserve">Actualizaciones y parches (equivalente al OTA)</t>
  </si>
  <si>
    <t xml:space="preserve">Steam e itch.io las distribuyen sin cargo.</t>
  </si>
  <si>
    <t xml:space="preserve">Pasarela de pago propia (solo si venden fuera de Steam/itch)</t>
  </si>
  <si>
    <t xml:space="preserve">No cotizado</t>
  </si>
  <si>
    <t xml:space="preserve">Hay que cotizarla si se vende directo.</t>
  </si>
  <si>
    <t xml:space="preserve">Impuestos y contador (ISR/IVA)</t>
  </si>
  <si>
    <t xml:space="preserve">NO CALCULADO</t>
  </si>
  <si>
    <t xml:space="preserve">Consultar con un contador antes de vender.</t>
  </si>
  <si>
    <t xml:space="preserve">Total DISTRIBUIR</t>
  </si>
  <si>
    <t xml:space="preserve">TOTAL CREAR + DISTRIBUIR</t>
  </si>
  <si>
    <t xml:space="preserve">Clasificación (conteo)</t>
  </si>
  <si>
    <t xml:space="preserve">Regla del curso: si el modelo no cierra, reducir primero los F, aceptar los S, y si hay que tocar un D la propuesta de valor se replantea.</t>
  </si>
  <si>
    <t xml:space="preserve">Las horas-persona de desarrollo NO están aquí: van en la hoja Desarrollo y se suman en Resumen.</t>
  </si>
  <si>
    <t xml:space="preserve">5. Costos de desarrollo — ciclos de aprendizaje</t>
  </si>
  <si>
    <t xml:space="preserve">Fórmula del curso: directos fijos + directos variables + indirectos (10–20%) + reserva de contingencia (25–40%).</t>
  </si>
  <si>
    <t xml:space="preserve">Concepto (por ciclo)</t>
  </si>
  <si>
    <t xml:space="preserve">Horas-persona por ciclo</t>
  </si>
  <si>
    <t xml:space="preserve">Supuesto nuestro (nivel 1 + menú se estimó en ~87 h en la semana 6).</t>
  </si>
  <si>
    <t xml:space="preserve">Tarifa por hora (MXN)</t>
  </si>
  <si>
    <t xml:space="preserve">Ejemplo del curso.</t>
  </si>
  <si>
    <t xml:space="preserve">Mano de obra</t>
  </si>
  <si>
    <t xml:space="preserve">Directos variables (API en pruebas, incentivos de playtest)</t>
  </si>
  <si>
    <t xml:space="preserve">ESTIMADO.</t>
  </si>
  <si>
    <t xml:space="preserve">Directos fijos (licencias por ciclo)</t>
  </si>
  <si>
    <t xml:space="preserve">Todo el software es gratuito.</t>
  </si>
  <si>
    <t xml:space="preserve">Costos directos</t>
  </si>
  <si>
    <t xml:space="preserve">Indirectos</t>
  </si>
  <si>
    <t xml:space="preserve">Subtotal</t>
  </si>
  <si>
    <t xml:space="preserve">COSTO POR CICLO</t>
  </si>
  <si>
    <t xml:space="preserve">Ciclos</t>
  </si>
  <si>
    <t xml:space="preserve">Total MXN (con horas)</t>
  </si>
  <si>
    <t xml:space="preserve">Total USD</t>
  </si>
  <si>
    <t xml:space="preserve">Solo efectivo MXN (sin horas)</t>
  </si>
  <si>
    <t xml:space="preserve">Horas-persona</t>
  </si>
  <si>
    <t xml:space="preserve">Mínimo</t>
  </si>
  <si>
    <t xml:space="preserve">Promedio (presupuesto recomendado)</t>
  </si>
  <si>
    <t xml:space="preserve">Máximo</t>
  </si>
  <si>
    <t xml:space="preserve">El curso recomienda presentar el escenario promedio. El dinero real que sale del bolsillo es la columna 'Solo efectivo'; las horas son costo de oportunidad.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</si>
</sst>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&quot; copias&quot;"/>
    <numFmt numFmtId="166" formatCode="\$#,##0.00;&quot;($&quot;#,##0.00\);\-"/>
    <numFmt numFmtId="167" formatCode="0.0%;\(0.0%\);\-"/>
    <numFmt numFmtId="168" formatCode="#,##0"/>
    <numFmt numFmtId="169" formatCode="0.00"/>
    <numFmt numFmtId="170" formatCode="\$#,##0;&quot;($&quot;#,##0\);\-"/>
    <numFmt numFmtId="171" formatCode="0"/>
    <numFmt numFmtId="172" formatCode="\$0.00"/>
    <numFmt numFmtId="173" formatCode="\$#,##0.0000;&quot;($&quot;#,##0.0000\);\-"/>
    <numFmt numFmtId="174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Supuestos!B15</f>
        <v>10</v>
      </c>
      <c r="C4" s="5" t="n">
        <v>20</v>
      </c>
      <c r="D4" s="5" t="n">
        <v>100</v>
      </c>
    </row>
    <row r="5" customFormat="false" ht="15" hidden="false" customHeight="false" outlineLevel="0" collapsed="false">
      <c r="A5" s="6" t="s">
        <v>3</v>
      </c>
      <c r="B5" s="7" t="n">
        <f aca="false">'Costos DFS'!$L$31</f>
        <v>76.0125</v>
      </c>
      <c r="C5" s="7" t="n">
        <f aca="false">'Costos DFS'!$L$31</f>
        <v>76.0125</v>
      </c>
      <c r="D5" s="7" t="n">
        <f aca="false">'Costos DFS'!$L$31</f>
        <v>76.0125</v>
      </c>
    </row>
    <row r="6" customFormat="false" ht="15" hidden="false" customHeight="false" outlineLevel="0" collapsed="false">
      <c r="A6" s="6" t="s">
        <v>4</v>
      </c>
      <c r="B6" s="7" t="n">
        <f aca="false">'Costos DFS'!$K$31</f>
        <v>0</v>
      </c>
      <c r="C6" s="7" t="n">
        <f aca="false">'Costos DFS'!$K$31</f>
        <v>0</v>
      </c>
      <c r="D6" s="7" t="n">
        <f aca="false">'Costos DFS'!$K$31</f>
        <v>0</v>
      </c>
    </row>
    <row r="7" customFormat="false" ht="15" hidden="false" customHeight="false" outlineLevel="0" collapsed="false">
      <c r="A7" s="6" t="s">
        <v>5</v>
      </c>
      <c r="B7" s="7" t="n">
        <f aca="false">'Costos DFS'!$I$31</f>
        <v>8942.5</v>
      </c>
      <c r="C7" s="7" t="n">
        <f aca="false">'Costos DFS'!$I$31</f>
        <v>8942.5</v>
      </c>
      <c r="D7" s="7" t="n">
        <f aca="false">'Costos DFS'!$I$31</f>
        <v>8942.5</v>
      </c>
    </row>
    <row r="8" customFormat="false" ht="15" hidden="false" customHeight="false" outlineLevel="0" collapsed="false">
      <c r="A8" s="6" t="s">
        <v>6</v>
      </c>
      <c r="B8" s="7" t="n">
        <f aca="false">Desarrollo!$C$18</f>
        <v>50082.5</v>
      </c>
      <c r="C8" s="7" t="n">
        <f aca="false">Desarrollo!$C$18</f>
        <v>50082.5</v>
      </c>
      <c r="D8" s="7" t="n">
        <f aca="false">Desarrollo!$C$18</f>
        <v>50082.5</v>
      </c>
    </row>
    <row r="9" customFormat="false" ht="15" hidden="false" customHeight="false" outlineLevel="0" collapsed="false">
      <c r="A9" s="8" t="s">
        <v>7</v>
      </c>
      <c r="B9" s="9" t="n">
        <f aca="false">B6/B$4+B5</f>
        <v>76.0125</v>
      </c>
      <c r="C9" s="9" t="n">
        <f aca="false">C6/C$4+C5</f>
        <v>76.0125</v>
      </c>
      <c r="D9" s="9" t="n">
        <f aca="false">D6/D$4+D5</f>
        <v>76.0125</v>
      </c>
    </row>
    <row r="10" customFormat="false" ht="15" hidden="false" customHeight="false" outlineLevel="0" collapsed="false">
      <c r="A10" s="8" t="s">
        <v>8</v>
      </c>
      <c r="B10" s="9" t="n">
        <f aca="false">B7/B$4+B5</f>
        <v>970.2625</v>
      </c>
      <c r="C10" s="9" t="n">
        <f aca="false">C7/C$4+C5</f>
        <v>523.1375</v>
      </c>
      <c r="D10" s="9" t="n">
        <f aca="false">D7/D$4+D5</f>
        <v>165.4375</v>
      </c>
    </row>
    <row r="11" customFormat="false" ht="15" hidden="false" customHeight="false" outlineLevel="0" collapsed="false">
      <c r="A11" s="8" t="s">
        <v>9</v>
      </c>
      <c r="B11" s="9" t="n">
        <f aca="false">(B7+B8)/B$4+B5</f>
        <v>5978.5125</v>
      </c>
      <c r="C11" s="9" t="n">
        <f aca="false">(C7+C8)/C$4+C5</f>
        <v>3027.2625</v>
      </c>
      <c r="D11" s="9" t="n">
        <f aca="false">(D7+D8)/D$4+D5</f>
        <v>666.2625</v>
      </c>
    </row>
    <row r="12" customFormat="false" ht="15" hidden="false" customHeight="false" outlineLevel="0" collapsed="false">
      <c r="A12" s="6" t="s">
        <v>10</v>
      </c>
      <c r="B12" s="7" t="n">
        <f aca="false">Supuestos!$B$3</f>
        <v>249</v>
      </c>
      <c r="C12" s="7" t="n">
        <f aca="false">Supuestos!$B$3</f>
        <v>249</v>
      </c>
      <c r="D12" s="7" t="n">
        <f aca="false">Supuestos!$B$3</f>
        <v>249</v>
      </c>
    </row>
    <row r="13" customFormat="false" ht="15" hidden="false" customHeight="false" outlineLevel="0" collapsed="false">
      <c r="A13" s="6" t="s">
        <v>11</v>
      </c>
      <c r="B13" s="10" t="n">
        <f aca="false">B12-B10</f>
        <v>-721.2625</v>
      </c>
      <c r="C13" s="10" t="n">
        <f aca="false">C12-C10</f>
        <v>-274.1375</v>
      </c>
      <c r="D13" s="10" t="n">
        <f aca="false">D12-D10</f>
        <v>83.5625</v>
      </c>
    </row>
    <row r="14" customFormat="false" ht="15" hidden="false" customHeight="false" outlineLevel="0" collapsed="false">
      <c r="A14" s="6" t="s">
        <v>12</v>
      </c>
      <c r="B14" s="10" t="n">
        <f aca="false">B12-B11</f>
        <v>-5729.5125</v>
      </c>
      <c r="C14" s="10" t="n">
        <f aca="false">C12-C11</f>
        <v>-2778.2625</v>
      </c>
      <c r="D14" s="10" t="n">
        <f aca="false">D12-D11</f>
        <v>-417.2625</v>
      </c>
    </row>
    <row r="16" customFormat="false" ht="15" hidden="false" customHeight="false" outlineLevel="0" collapsed="false">
      <c r="A16" s="8" t="s">
        <v>13</v>
      </c>
    </row>
    <row r="17" customFormat="false" ht="15" hidden="false" customHeight="false" outlineLevel="0" collapsed="false">
      <c r="A17" s="11" t="s">
        <v>14</v>
      </c>
      <c r="B17" s="7" t="str">
        <f aca="false">TEXT(B9,"$#,##0")&amp;" / "&amp;TEXT(B10,"$#,##0")&amp;" MXN"</f>
        <v>$76 / $970 MXN</v>
      </c>
    </row>
    <row r="18" customFormat="false" ht="15" hidden="false" customHeight="false" outlineLevel="0" collapsed="false">
      <c r="A18" s="11" t="s">
        <v>15</v>
      </c>
      <c r="B18" s="7" t="n">
        <f aca="false">'Costo IA'!B27</f>
        <v>1.3125</v>
      </c>
    </row>
    <row r="19" customFormat="false" ht="15" hidden="false" customHeight="false" outlineLevel="0" collapsed="false">
      <c r="A19" s="11" t="s">
        <v>16</v>
      </c>
      <c r="B19" s="7" t="n">
        <f aca="false">'Costo IA'!B30*Supuestos!B17*Supuestos!B14*Supuestos!B2</f>
        <v>1.3125</v>
      </c>
    </row>
    <row r="20" customFormat="false" ht="15" hidden="false" customHeight="false" outlineLevel="0" collapsed="false">
      <c r="A20" s="11" t="s">
        <v>17</v>
      </c>
      <c r="B20" s="7" t="n">
        <f aca="false">'Costo IA'!B30*Supuestos!B17*Supuestos!B18*Supuestos!B2</f>
        <v>0.525</v>
      </c>
    </row>
    <row r="21" customFormat="false" ht="15" hidden="false" customHeight="false" outlineLevel="0" collapsed="false">
      <c r="A21" s="11" t="s">
        <v>18</v>
      </c>
      <c r="B21" s="12" t="n">
        <f aca="false">'Costo IA'!B27/'Costo IA'!B26</f>
        <v>0.00753012048192771</v>
      </c>
    </row>
    <row r="22" customFormat="false" ht="15" hidden="false" customHeight="false" outlineLevel="0" collapsed="false">
      <c r="A22" s="11" t="s">
        <v>19</v>
      </c>
      <c r="B22" s="7" t="n">
        <f aca="false">Desarrollo!C18</f>
        <v>50082.5</v>
      </c>
    </row>
    <row r="23" customFormat="false" ht="15" hidden="false" customHeight="false" outlineLevel="0" collapsed="false">
      <c r="A23" s="11" t="s">
        <v>20</v>
      </c>
      <c r="B23" s="7" t="n">
        <f aca="false">Desarrollo!E18</f>
        <v>2242.5</v>
      </c>
    </row>
    <row r="24" customFormat="false" ht="30" hidden="false" customHeight="true" outlineLevel="0" collapsed="false">
      <c r="A24" s="11" t="s">
        <v>21</v>
      </c>
      <c r="B24" s="13" t="n">
        <f aca="false">IF(B12-B5&gt;0,(B7+B8)/(B12-B5),"n/a")</f>
        <v>341.209624972903</v>
      </c>
    </row>
    <row r="26" customFormat="false" ht="15" hidden="false" customHeight="false" outlineLevel="0" collapsed="false">
      <c r="A2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4" t="s">
        <v>23</v>
      </c>
    </row>
    <row r="2" customFormat="false" ht="15" hidden="false" customHeight="false" outlineLevel="0" collapsed="false">
      <c r="A2" s="6" t="s">
        <v>24</v>
      </c>
      <c r="B2" s="15" t="n">
        <v>17.5</v>
      </c>
      <c r="C2" s="16" t="s">
        <v>25</v>
      </c>
    </row>
    <row r="3" customFormat="false" ht="15" hidden="false" customHeight="false" outlineLevel="0" collapsed="false">
      <c r="A3" s="6" t="s">
        <v>26</v>
      </c>
      <c r="B3" s="17" t="n">
        <v>249</v>
      </c>
      <c r="C3" s="16" t="s">
        <v>27</v>
      </c>
    </row>
    <row r="4" customFormat="false" ht="15" hidden="false" customHeight="false" outlineLevel="0" collapsed="false">
      <c r="A4" s="6" t="s">
        <v>28</v>
      </c>
      <c r="B4" s="18" t="n">
        <v>0.3</v>
      </c>
      <c r="C4" s="16" t="s">
        <v>29</v>
      </c>
    </row>
    <row r="5" customFormat="false" ht="15" hidden="false" customHeight="false" outlineLevel="0" collapsed="false">
      <c r="A5" s="6" t="s">
        <v>30</v>
      </c>
      <c r="B5" s="17" t="n">
        <v>80</v>
      </c>
      <c r="C5" s="16" t="s">
        <v>31</v>
      </c>
    </row>
    <row r="6" customFormat="false" ht="15" hidden="false" customHeight="false" outlineLevel="0" collapsed="false">
      <c r="A6" s="6" t="s">
        <v>32</v>
      </c>
      <c r="B6" s="18" t="n">
        <v>0.15</v>
      </c>
      <c r="C6" s="16" t="s">
        <v>33</v>
      </c>
    </row>
    <row r="7" customFormat="false" ht="15" hidden="false" customHeight="false" outlineLevel="0" collapsed="false">
      <c r="A7" s="6" t="s">
        <v>34</v>
      </c>
      <c r="B7" s="18" t="n">
        <v>0.3</v>
      </c>
      <c r="C7" s="16" t="s">
        <v>35</v>
      </c>
    </row>
    <row r="8" customFormat="false" ht="15" hidden="false" customHeight="false" outlineLevel="0" collapsed="false">
      <c r="A8" s="6" t="s">
        <v>36</v>
      </c>
      <c r="B8" s="19" t="n">
        <v>80</v>
      </c>
      <c r="C8" s="16" t="s">
        <v>37</v>
      </c>
    </row>
    <row r="9" customFormat="false" ht="15" hidden="false" customHeight="false" outlineLevel="0" collapsed="false">
      <c r="A9" s="6" t="s">
        <v>38</v>
      </c>
      <c r="B9" s="20" t="n">
        <v>300</v>
      </c>
      <c r="C9" s="16" t="s">
        <v>25</v>
      </c>
    </row>
    <row r="10" customFormat="false" ht="15" hidden="false" customHeight="false" outlineLevel="0" collapsed="false">
      <c r="A10" s="6" t="s">
        <v>39</v>
      </c>
      <c r="B10" s="18" t="n">
        <v>0.5</v>
      </c>
      <c r="C10" s="16" t="s">
        <v>40</v>
      </c>
    </row>
    <row r="11" customFormat="false" ht="15" hidden="false" customHeight="false" outlineLevel="0" collapsed="false">
      <c r="A11" s="6" t="s">
        <v>41</v>
      </c>
      <c r="B11" s="21" t="n">
        <v>3000</v>
      </c>
      <c r="C11" s="16" t="s">
        <v>42</v>
      </c>
    </row>
    <row r="12" customFormat="false" ht="15" hidden="false" customHeight="false" outlineLevel="0" collapsed="false">
      <c r="A12" s="6" t="s">
        <v>43</v>
      </c>
      <c r="B12" s="21" t="n">
        <v>400</v>
      </c>
      <c r="C12" s="16" t="s">
        <v>44</v>
      </c>
    </row>
    <row r="13" customFormat="false" ht="15" hidden="false" customHeight="false" outlineLevel="0" collapsed="false">
      <c r="A13" s="6" t="s">
        <v>45</v>
      </c>
      <c r="B13" s="15" t="n">
        <v>1.3</v>
      </c>
      <c r="C13" s="16" t="s">
        <v>46</v>
      </c>
    </row>
    <row r="14" customFormat="false" ht="15" hidden="false" customHeight="false" outlineLevel="0" collapsed="false">
      <c r="A14" s="6" t="s">
        <v>47</v>
      </c>
      <c r="B14" s="20" t="n">
        <v>30</v>
      </c>
      <c r="C14" s="16" t="s">
        <v>48</v>
      </c>
    </row>
    <row r="15" customFormat="false" ht="15" hidden="false" customHeight="false" outlineLevel="0" collapsed="false">
      <c r="A15" s="6" t="s">
        <v>49</v>
      </c>
      <c r="B15" s="20" t="n">
        <v>10</v>
      </c>
      <c r="C15" s="16" t="s">
        <v>50</v>
      </c>
    </row>
    <row r="16" customFormat="false" ht="15" hidden="false" customHeight="false" outlineLevel="0" collapsed="false">
      <c r="A16" s="6" t="s">
        <v>51</v>
      </c>
      <c r="B16" s="22" t="s">
        <v>52</v>
      </c>
      <c r="C16" s="16" t="s">
        <v>53</v>
      </c>
    </row>
    <row r="17" customFormat="false" ht="15" hidden="false" customHeight="false" outlineLevel="0" collapsed="false">
      <c r="A17" s="6" t="s">
        <v>54</v>
      </c>
      <c r="B17" s="19" t="n">
        <v>5</v>
      </c>
      <c r="C17" s="16" t="s">
        <v>55</v>
      </c>
    </row>
    <row r="18" customFormat="false" ht="15" hidden="false" customHeight="false" outlineLevel="0" collapsed="false">
      <c r="A18" s="6" t="s">
        <v>56</v>
      </c>
      <c r="B18" s="19" t="n">
        <v>12</v>
      </c>
      <c r="C18" s="16" t="s">
        <v>57</v>
      </c>
    </row>
    <row r="20" customFormat="false" ht="15" hidden="false" customHeight="false" outlineLevel="0" collapsed="false">
      <c r="A20" s="8" t="s">
        <v>58</v>
      </c>
    </row>
    <row r="21" customFormat="false" ht="15" hidden="false" customHeight="false" outlineLevel="0" collapsed="false">
      <c r="A21" s="3" t="s">
        <v>59</v>
      </c>
      <c r="B21" s="3" t="s">
        <v>60</v>
      </c>
      <c r="C21" s="3" t="s">
        <v>61</v>
      </c>
      <c r="D21" s="3" t="s">
        <v>62</v>
      </c>
    </row>
    <row r="22" customFormat="false" ht="15" hidden="false" customHeight="false" outlineLevel="0" collapsed="false">
      <c r="A22" s="6" t="s">
        <v>63</v>
      </c>
      <c r="B22" s="23" t="n">
        <v>1</v>
      </c>
      <c r="C22" s="23" t="n">
        <v>5</v>
      </c>
      <c r="D22" s="2" t="s">
        <v>64</v>
      </c>
    </row>
    <row r="23" customFormat="false" ht="15" hidden="false" customHeight="false" outlineLevel="0" collapsed="false">
      <c r="A23" s="6" t="s">
        <v>52</v>
      </c>
      <c r="B23" s="23" t="n">
        <v>0.1</v>
      </c>
      <c r="C23" s="23" t="n">
        <v>0.5</v>
      </c>
      <c r="D23" s="2" t="s">
        <v>65</v>
      </c>
    </row>
    <row r="24" customFormat="false" ht="15" hidden="false" customHeight="false" outlineLevel="0" collapsed="false">
      <c r="A24" s="6" t="s">
        <v>66</v>
      </c>
      <c r="B24" s="23" t="n">
        <v>2</v>
      </c>
      <c r="C24" s="23" t="n">
        <v>10</v>
      </c>
      <c r="D24" s="2" t="s">
        <v>67</v>
      </c>
    </row>
    <row r="26" customFormat="false" ht="15" hidden="false" customHeight="false" outlineLevel="0" collapsed="false">
      <c r="A26" s="2" t="s">
        <v>68</v>
      </c>
    </row>
    <row r="27" customFormat="false" ht="15" hidden="false" customHeight="false" outlineLevel="0" collapsed="false">
      <c r="A27" s="2" t="s">
        <v>69</v>
      </c>
    </row>
  </sheetData>
  <dataValidations count="1">
    <dataValidation allowBlank="false" errorStyle="stop" operator="between" showDropDown="false" showErrorMessage="false" showInputMessage="false" sqref="B16" type="list">
      <formula1>"Claude Haiku 4.5,Claude Haiku 5.5,Claude Sonnet 5.5"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70</v>
      </c>
    </row>
    <row r="3" customFormat="false" ht="35.05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</row>
    <row r="4" customFormat="false" ht="15" hidden="false" customHeight="false" outlineLevel="0" collapsed="false">
      <c r="A4" s="11" t="s">
        <v>75</v>
      </c>
      <c r="B4" s="2" t="s">
        <v>76</v>
      </c>
      <c r="C4" s="22" t="s">
        <v>77</v>
      </c>
      <c r="D4" s="16" t="s">
        <v>78</v>
      </c>
    </row>
    <row r="5" customFormat="false" ht="15" hidden="false" customHeight="false" outlineLevel="0" collapsed="false">
      <c r="A5" s="11" t="s">
        <v>79</v>
      </c>
      <c r="B5" s="2" t="s">
        <v>76</v>
      </c>
      <c r="C5" s="22" t="s">
        <v>77</v>
      </c>
      <c r="D5" s="16" t="s">
        <v>80</v>
      </c>
    </row>
    <row r="6" customFormat="false" ht="15" hidden="false" customHeight="false" outlineLevel="0" collapsed="false">
      <c r="A6" s="11" t="s">
        <v>81</v>
      </c>
      <c r="B6" s="2" t="s">
        <v>76</v>
      </c>
      <c r="C6" s="22" t="s">
        <v>82</v>
      </c>
      <c r="D6" s="16" t="s">
        <v>83</v>
      </c>
    </row>
    <row r="7" customFormat="false" ht="15" hidden="false" customHeight="false" outlineLevel="0" collapsed="false">
      <c r="A7" s="11" t="s">
        <v>84</v>
      </c>
      <c r="B7" s="2" t="s">
        <v>76</v>
      </c>
      <c r="C7" s="22" t="s">
        <v>82</v>
      </c>
      <c r="D7" s="16" t="s">
        <v>85</v>
      </c>
    </row>
    <row r="8" customFormat="false" ht="15" hidden="false" customHeight="false" outlineLevel="0" collapsed="false">
      <c r="A8" s="11" t="s">
        <v>86</v>
      </c>
      <c r="B8" s="2" t="s">
        <v>76</v>
      </c>
      <c r="C8" s="22" t="s">
        <v>82</v>
      </c>
      <c r="D8" s="16" t="s">
        <v>87</v>
      </c>
    </row>
    <row r="9" customFormat="false" ht="15" hidden="false" customHeight="false" outlineLevel="0" collapsed="false">
      <c r="A9" s="11" t="s">
        <v>88</v>
      </c>
      <c r="B9" s="2" t="s">
        <v>76</v>
      </c>
      <c r="C9" s="22" t="s">
        <v>89</v>
      </c>
      <c r="D9" s="16" t="s">
        <v>90</v>
      </c>
    </row>
    <row r="10" customFormat="false" ht="15" hidden="false" customHeight="false" outlineLevel="0" collapsed="false">
      <c r="A10" s="11" t="s">
        <v>91</v>
      </c>
      <c r="B10" s="2" t="s">
        <v>76</v>
      </c>
      <c r="C10" s="22" t="s">
        <v>77</v>
      </c>
      <c r="D10" s="16" t="s">
        <v>92</v>
      </c>
    </row>
    <row r="11" customFormat="false" ht="15" hidden="false" customHeight="false" outlineLevel="0" collapsed="false">
      <c r="A11" s="11" t="s">
        <v>93</v>
      </c>
      <c r="B11" s="2" t="s">
        <v>76</v>
      </c>
      <c r="C11" s="22" t="s">
        <v>82</v>
      </c>
      <c r="D11" s="16" t="s">
        <v>94</v>
      </c>
    </row>
    <row r="12" customFormat="false" ht="15" hidden="false" customHeight="false" outlineLevel="0" collapsed="false">
      <c r="A12" s="11" t="s">
        <v>95</v>
      </c>
      <c r="B12" s="2" t="s">
        <v>76</v>
      </c>
      <c r="C12" s="22" t="s">
        <v>89</v>
      </c>
      <c r="D12" s="16" t="s">
        <v>96</v>
      </c>
    </row>
    <row r="13" customFormat="false" ht="15" hidden="false" customHeight="false" outlineLevel="0" collapsed="false">
      <c r="A13" s="11" t="s">
        <v>97</v>
      </c>
      <c r="B13" s="2" t="s">
        <v>76</v>
      </c>
      <c r="C13" s="22" t="s">
        <v>82</v>
      </c>
      <c r="D13" s="16" t="s">
        <v>98</v>
      </c>
    </row>
    <row r="14" customFormat="false" ht="15" hidden="false" customHeight="false" outlineLevel="0" collapsed="false">
      <c r="A14" s="11" t="s">
        <v>99</v>
      </c>
      <c r="B14" s="2" t="s">
        <v>76</v>
      </c>
      <c r="C14" s="22" t="s">
        <v>82</v>
      </c>
      <c r="D14" s="16" t="s">
        <v>100</v>
      </c>
    </row>
    <row r="15" customFormat="false" ht="15" hidden="false" customHeight="false" outlineLevel="0" collapsed="false">
      <c r="A15" s="11" t="s">
        <v>101</v>
      </c>
      <c r="B15" s="2" t="s">
        <v>76</v>
      </c>
      <c r="C15" s="22" t="s">
        <v>77</v>
      </c>
      <c r="D15" s="16" t="s">
        <v>102</v>
      </c>
    </row>
    <row r="16" customFormat="false" ht="15" hidden="false" customHeight="false" outlineLevel="0" collapsed="false">
      <c r="A16" s="11" t="s">
        <v>103</v>
      </c>
      <c r="B16" s="2" t="s">
        <v>76</v>
      </c>
      <c r="C16" s="22" t="s">
        <v>77</v>
      </c>
      <c r="D16" s="16" t="s">
        <v>104</v>
      </c>
    </row>
    <row r="18" customFormat="false" ht="15" hidden="false" customHeight="false" outlineLevel="0" collapsed="false">
      <c r="A18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22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8" t="s">
        <v>108</v>
      </c>
    </row>
    <row r="4" customFormat="false" ht="15" hidden="false" customHeight="false" outlineLevel="0" collapsed="false">
      <c r="A4" s="6" t="s">
        <v>109</v>
      </c>
      <c r="B4" s="13" t="n">
        <f aca="false">Supuestos!B11</f>
        <v>3000</v>
      </c>
    </row>
    <row r="5" customFormat="false" ht="15" hidden="false" customHeight="false" outlineLevel="0" collapsed="false">
      <c r="A5" s="6" t="s">
        <v>110</v>
      </c>
      <c r="B5" s="13" t="n">
        <f aca="false">Supuestos!B12</f>
        <v>400</v>
      </c>
    </row>
    <row r="6" customFormat="false" ht="15" hidden="false" customHeight="false" outlineLevel="0" collapsed="false">
      <c r="A6" s="6" t="s">
        <v>111</v>
      </c>
      <c r="B6" s="24" t="n">
        <f aca="false">Supuestos!B13</f>
        <v>1.3</v>
      </c>
    </row>
    <row r="8" customFormat="false" ht="15" hidden="false" customHeight="false" outlineLevel="0" collapsed="false">
      <c r="A8" s="8" t="s">
        <v>112</v>
      </c>
    </row>
    <row r="9" customFormat="false" ht="42" hidden="false" customHeight="true" outlineLevel="0" collapsed="false">
      <c r="A9" s="3" t="s">
        <v>59</v>
      </c>
      <c r="B9" s="3" t="s">
        <v>113</v>
      </c>
      <c r="C9" s="3" t="s">
        <v>114</v>
      </c>
      <c r="D9" s="3" t="s">
        <v>115</v>
      </c>
      <c r="E9" s="3" t="s">
        <v>116</v>
      </c>
      <c r="F9" s="3" t="s">
        <v>117</v>
      </c>
    </row>
    <row r="10" customFormat="false" ht="15" hidden="false" customHeight="false" outlineLevel="0" collapsed="false">
      <c r="A10" s="25" t="str">
        <f aca="false">Supuestos!A22</f>
        <v>Claude Haiku 4.5</v>
      </c>
      <c r="B10" s="26" t="n">
        <f aca="false">Supuestos!B22</f>
        <v>1</v>
      </c>
      <c r="C10" s="26" t="n">
        <f aca="false">Supuestos!C22</f>
        <v>5</v>
      </c>
      <c r="D10" s="27" t="n">
        <f aca="false">($B$4*B10+$B$5*C10)/1000000</f>
        <v>0.005</v>
      </c>
      <c r="E10" s="27" t="n">
        <f aca="false">D10*$B$6</f>
        <v>0.0065</v>
      </c>
      <c r="F10" s="10" t="n">
        <f aca="false">D10*Supuestos!$B$2</f>
        <v>0.0875</v>
      </c>
    </row>
    <row r="11" customFormat="false" ht="15" hidden="false" customHeight="false" outlineLevel="0" collapsed="false">
      <c r="A11" s="25" t="str">
        <f aca="false">Supuestos!A23</f>
        <v>Claude Haiku 5.5</v>
      </c>
      <c r="B11" s="26" t="n">
        <f aca="false">Supuestos!B23</f>
        <v>0.1</v>
      </c>
      <c r="C11" s="26" t="n">
        <f aca="false">Supuestos!C23</f>
        <v>0.5</v>
      </c>
      <c r="D11" s="27" t="n">
        <f aca="false">($B$4*B11+$B$5*C11)/1000000</f>
        <v>0.0005</v>
      </c>
      <c r="E11" s="27" t="n">
        <f aca="false">D11*$B$6</f>
        <v>0.00065</v>
      </c>
      <c r="F11" s="10" t="n">
        <f aca="false">D11*Supuestos!$B$2</f>
        <v>0.00875</v>
      </c>
    </row>
    <row r="12" customFormat="false" ht="15" hidden="false" customHeight="false" outlineLevel="0" collapsed="false">
      <c r="A12" s="25" t="str">
        <f aca="false">Supuestos!A24</f>
        <v>Claude Sonnet 5.5</v>
      </c>
      <c r="B12" s="26" t="n">
        <f aca="false">Supuestos!B24</f>
        <v>2</v>
      </c>
      <c r="C12" s="26" t="n">
        <f aca="false">Supuestos!C24</f>
        <v>10</v>
      </c>
      <c r="D12" s="27" t="n">
        <f aca="false">($B$4*B12+$B$5*C12)/1000000</f>
        <v>0.01</v>
      </c>
      <c r="E12" s="27" t="n">
        <f aca="false">D12*$B$6</f>
        <v>0.013</v>
      </c>
      <c r="F12" s="10" t="n">
        <f aca="false">D12*Supuestos!$B$2</f>
        <v>0.175</v>
      </c>
    </row>
    <row r="14" customFormat="false" ht="15" hidden="false" customHeight="false" outlineLevel="0" collapsed="false">
      <c r="A14" s="8" t="s">
        <v>118</v>
      </c>
    </row>
    <row r="15" customFormat="false" ht="23.85" hidden="false" customHeight="false" outlineLevel="0" collapsed="false">
      <c r="A15" s="3" t="s">
        <v>119</v>
      </c>
      <c r="B15" s="3" t="s">
        <v>63</v>
      </c>
      <c r="C15" s="3" t="s">
        <v>52</v>
      </c>
      <c r="D15" s="3" t="s">
        <v>66</v>
      </c>
      <c r="E15" s="3" t="s">
        <v>120</v>
      </c>
    </row>
    <row r="16" customFormat="false" ht="15" hidden="false" customHeight="false" outlineLevel="0" collapsed="false">
      <c r="A16" s="20" t="n">
        <v>3</v>
      </c>
      <c r="B16" s="10" t="n">
        <f aca="false">$A16*$D$10*Supuestos!$B$14*Supuestos!$B$2</f>
        <v>7.875</v>
      </c>
      <c r="C16" s="10" t="n">
        <f aca="false">$A16*$D$11*Supuestos!$B$14*Supuestos!$B$2</f>
        <v>0.7875</v>
      </c>
      <c r="D16" s="10" t="n">
        <f aca="false">$A16*$D$12*Supuestos!$B$14*Supuestos!$B$2</f>
        <v>15.75</v>
      </c>
      <c r="E16" s="10" t="n">
        <f aca="false">$A16*$E$11*Supuestos!$B$14*Supuestos!$B$2</f>
        <v>1.02375</v>
      </c>
    </row>
    <row r="17" customFormat="false" ht="15" hidden="false" customHeight="false" outlineLevel="0" collapsed="false">
      <c r="A17" s="20" t="n">
        <v>10</v>
      </c>
      <c r="B17" s="10" t="n">
        <f aca="false">$A17*$D$10*Supuestos!$B$14*Supuestos!$B$2</f>
        <v>26.25</v>
      </c>
      <c r="C17" s="10" t="n">
        <f aca="false">$A17*$D$11*Supuestos!$B$14*Supuestos!$B$2</f>
        <v>2.625</v>
      </c>
      <c r="D17" s="10" t="n">
        <f aca="false">$A17*$D$12*Supuestos!$B$14*Supuestos!$B$2</f>
        <v>52.5</v>
      </c>
      <c r="E17" s="10" t="n">
        <f aca="false">$A17*$E$11*Supuestos!$B$14*Supuestos!$B$2</f>
        <v>3.4125</v>
      </c>
    </row>
    <row r="18" customFormat="false" ht="15" hidden="false" customHeight="false" outlineLevel="0" collapsed="false">
      <c r="A18" s="20" t="n">
        <v>20</v>
      </c>
      <c r="B18" s="10" t="n">
        <f aca="false">$A18*$D$10*Supuestos!$B$14*Supuestos!$B$2</f>
        <v>52.5</v>
      </c>
      <c r="C18" s="10" t="n">
        <f aca="false">$A18*$D$11*Supuestos!$B$14*Supuestos!$B$2</f>
        <v>5.25</v>
      </c>
      <c r="D18" s="10" t="n">
        <f aca="false">$A18*$D$12*Supuestos!$B$14*Supuestos!$B$2</f>
        <v>105</v>
      </c>
      <c r="E18" s="10" t="n">
        <f aca="false">$A18*$E$11*Supuestos!$B$14*Supuestos!$B$2</f>
        <v>6.825</v>
      </c>
    </row>
    <row r="21" customFormat="false" ht="15" hidden="false" customHeight="false" outlineLevel="0" collapsed="false">
      <c r="A21" s="8" t="s">
        <v>121</v>
      </c>
    </row>
    <row r="22" customFormat="false" ht="42" hidden="false" customHeight="true" outlineLevel="0" collapsed="false">
      <c r="A22" s="3" t="s">
        <v>122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  <c r="H22" s="3" t="s">
        <v>129</v>
      </c>
    </row>
    <row r="23" customFormat="false" ht="15" hidden="false" customHeight="false" outlineLevel="0" collapsed="false">
      <c r="A23" s="11" t="s">
        <v>130</v>
      </c>
      <c r="B23" s="18" t="n">
        <v>1</v>
      </c>
      <c r="C23" s="10" t="n">
        <f aca="false">Supuestos!$B$9*$B23*$D$10*Supuestos!$B$2</f>
        <v>26.25</v>
      </c>
      <c r="D23" s="10" t="n">
        <f aca="false">Supuestos!$B$9*$B23*$D$11*Supuestos!$B$2</f>
        <v>2.625</v>
      </c>
      <c r="E23" s="10" t="n">
        <f aca="false">Supuestos!$B$9*$B23*$D$12*Supuestos!$B$2</f>
        <v>52.5</v>
      </c>
      <c r="F23" s="28" t="n">
        <f aca="false">C23/$B$26</f>
        <v>0.150602409638554</v>
      </c>
      <c r="G23" s="28" t="n">
        <f aca="false">D23/$B$26</f>
        <v>0.0150602409638554</v>
      </c>
      <c r="H23" s="28" t="n">
        <f aca="false">E23/$B$26</f>
        <v>0.301204819277108</v>
      </c>
    </row>
    <row r="24" customFormat="false" ht="15" hidden="false" customHeight="false" outlineLevel="0" collapsed="false">
      <c r="A24" s="11" t="s">
        <v>131</v>
      </c>
      <c r="B24" s="12" t="n">
        <f aca="false">Supuestos!B10</f>
        <v>0.5</v>
      </c>
      <c r="C24" s="10" t="n">
        <f aca="false">Supuestos!$B$9*$B24*$D$10*Supuestos!$B$2</f>
        <v>13.125</v>
      </c>
      <c r="D24" s="10" t="n">
        <f aca="false">Supuestos!$B$9*$B24*$D$11*Supuestos!$B$2</f>
        <v>1.3125</v>
      </c>
      <c r="E24" s="10" t="n">
        <f aca="false">Supuestos!$B$9*$B24*$D$12*Supuestos!$B$2</f>
        <v>26.25</v>
      </c>
      <c r="F24" s="28" t="n">
        <f aca="false">C24/$B$26</f>
        <v>0.0753012048192771</v>
      </c>
      <c r="G24" s="28" t="n">
        <f aca="false">D24/$B$26</f>
        <v>0.00753012048192771</v>
      </c>
      <c r="H24" s="28" t="n">
        <f aca="false">E24/$B$26</f>
        <v>0.150602409638554</v>
      </c>
    </row>
    <row r="25" customFormat="false" ht="15" hidden="false" customHeight="false" outlineLevel="0" collapsed="false">
      <c r="A25" s="11" t="s">
        <v>132</v>
      </c>
      <c r="B25" s="18" t="n">
        <v>1</v>
      </c>
      <c r="C25" s="10" t="n">
        <f aca="false">Supuestos!$B$9*$B25*$D$10*Supuestos!$B$2*10</f>
        <v>262.5</v>
      </c>
      <c r="D25" s="10" t="n">
        <f aca="false">Supuestos!$B$9*$B25*$D$11*Supuestos!$B$2*10</f>
        <v>26.25</v>
      </c>
      <c r="E25" s="10" t="n">
        <f aca="false">Supuestos!$B$9*$B25*$D$12*Supuestos!$B$2*10</f>
        <v>525</v>
      </c>
      <c r="F25" s="28" t="n">
        <f aca="false">C25/$B$26</f>
        <v>1.50602409638554</v>
      </c>
      <c r="G25" s="28" t="n">
        <f aca="false">D25/$B$26</f>
        <v>0.150602409638554</v>
      </c>
      <c r="H25" s="28" t="n">
        <f aca="false">E25/$B$26</f>
        <v>3.01204819277108</v>
      </c>
    </row>
    <row r="26" customFormat="false" ht="15" hidden="false" customHeight="false" outlineLevel="0" collapsed="false">
      <c r="A26" s="6" t="s">
        <v>133</v>
      </c>
      <c r="B26" s="7" t="n">
        <f aca="false">Supuestos!B3*(1-Supuestos!B4)</f>
        <v>174.3</v>
      </c>
    </row>
    <row r="27" customFormat="false" ht="15" hidden="false" customHeight="false" outlineLevel="0" collapsed="false">
      <c r="A27" s="8" t="s">
        <v>134</v>
      </c>
      <c r="B27" s="10" t="n">
        <f aca="false">INDEX(C24:E24,1,MATCH(Supuestos!B16,A10:A12,0))</f>
        <v>1.3125</v>
      </c>
      <c r="C27" s="2" t="s">
        <v>135</v>
      </c>
    </row>
    <row r="29" customFormat="false" ht="15" hidden="false" customHeight="false" outlineLevel="0" collapsed="false">
      <c r="A29" s="8" t="s">
        <v>136</v>
      </c>
    </row>
    <row r="30" customFormat="false" ht="15" hidden="false" customHeight="false" outlineLevel="0" collapsed="false">
      <c r="A30" s="6" t="s">
        <v>137</v>
      </c>
      <c r="B30" s="27" t="n">
        <f aca="false">INDEX(D10:D12,MATCH(Supuestos!B16,A10:A12,0))</f>
        <v>0.0005</v>
      </c>
    </row>
    <row r="31" customFormat="false" ht="42" hidden="false" customHeight="true" outlineLevel="0" collapsed="false">
      <c r="A31" s="3" t="s">
        <v>138</v>
      </c>
      <c r="B31" s="3" t="s">
        <v>139</v>
      </c>
      <c r="C31" s="3" t="s">
        <v>140</v>
      </c>
      <c r="D31" s="3" t="s">
        <v>141</v>
      </c>
      <c r="E31" s="3" t="s">
        <v>142</v>
      </c>
    </row>
    <row r="32" customFormat="false" ht="15" hidden="false" customHeight="false" outlineLevel="0" collapsed="false">
      <c r="A32" s="29" t="n">
        <v>20</v>
      </c>
      <c r="B32" s="10" t="n">
        <f aca="false">$A32*Supuestos!$B$17*$B$30*Supuestos!$B$14*Supuestos!$B$2</f>
        <v>26.25</v>
      </c>
      <c r="C32" s="10" t="n">
        <f aca="false">$A32*Supuestos!$B$17*$B$30*Supuestos!$B$18*Supuestos!$B$2</f>
        <v>10.5</v>
      </c>
      <c r="D32" s="10" t="n">
        <f aca="false">C32*12</f>
        <v>126</v>
      </c>
      <c r="E32" s="10" t="n">
        <f aca="false">C32/$A32</f>
        <v>0.525</v>
      </c>
    </row>
    <row r="33" customFormat="false" ht="15" hidden="false" customHeight="false" outlineLevel="0" collapsed="false">
      <c r="A33" s="29" t="n">
        <v>100</v>
      </c>
      <c r="B33" s="10" t="n">
        <f aca="false">$A33*Supuestos!$B$17*$B$30*Supuestos!$B$14*Supuestos!$B$2</f>
        <v>131.25</v>
      </c>
      <c r="C33" s="10" t="n">
        <f aca="false">$A33*Supuestos!$B$17*$B$30*Supuestos!$B$18*Supuestos!$B$2</f>
        <v>52.5</v>
      </c>
      <c r="D33" s="10" t="n">
        <f aca="false">C33*12</f>
        <v>630</v>
      </c>
      <c r="E33" s="10" t="n">
        <f aca="false">C33/$A33</f>
        <v>0.525</v>
      </c>
    </row>
    <row r="34" customFormat="false" ht="15" hidden="false" customHeight="false" outlineLevel="0" collapsed="false">
      <c r="A34" s="29" t="n">
        <v>1000</v>
      </c>
      <c r="B34" s="10" t="n">
        <f aca="false">$A34*Supuestos!$B$17*$B$30*Supuestos!$B$14*Supuestos!$B$2</f>
        <v>1312.5</v>
      </c>
      <c r="C34" s="10" t="n">
        <f aca="false">$A34*Supuestos!$B$17*$B$30*Supuestos!$B$18*Supuestos!$B$2</f>
        <v>525</v>
      </c>
      <c r="D34" s="10" t="n">
        <f aca="false">C34*12</f>
        <v>6300</v>
      </c>
      <c r="E34" s="10" t="n">
        <f aca="false">C34/$A34</f>
        <v>0.525</v>
      </c>
    </row>
    <row r="36" customFormat="false" ht="15" hidden="false" customHeight="false" outlineLevel="0" collapsed="false">
      <c r="A36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2" min="9" style="0" width="15"/>
    <col collapsed="false" customWidth="true" hidden="false" outlineLevel="0" max="13" min="13" style="0" width="16"/>
    <col collapsed="false" customWidth="true" hidden="false" outlineLevel="0" max="14" min="14" style="0" width="28"/>
    <col collapsed="false" customWidth="true" hidden="false" outlineLevel="0" max="15" min="15" style="0" width="52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55.5" hidden="false" customHeight="true" outlineLevel="0" collapsed="false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3" t="s">
        <v>156</v>
      </c>
      <c r="L4" s="3" t="s">
        <v>157</v>
      </c>
      <c r="M4" s="3" t="s">
        <v>158</v>
      </c>
      <c r="N4" s="3" t="s">
        <v>159</v>
      </c>
      <c r="O4" s="3" t="s">
        <v>160</v>
      </c>
    </row>
    <row r="5" customFormat="false" ht="15" hidden="false" customHeight="false" outlineLevel="0" collapsed="false">
      <c r="A5" s="30" t="s">
        <v>161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customFormat="false" ht="22.35" hidden="false" customHeight="false" outlineLevel="0" collapsed="false">
      <c r="A6" s="6" t="n">
        <v>1</v>
      </c>
      <c r="B6" s="11" t="s">
        <v>162</v>
      </c>
      <c r="C6" s="22" t="s">
        <v>163</v>
      </c>
      <c r="D6" s="7" t="n">
        <f aca="false">'Costo IA'!B27</f>
        <v>1.3125</v>
      </c>
      <c r="E6" s="22" t="s">
        <v>164</v>
      </c>
      <c r="F6" s="22" t="s">
        <v>165</v>
      </c>
      <c r="G6" s="20" t="n">
        <v>1</v>
      </c>
      <c r="H6" s="10" t="n">
        <f aca="false">IF(E6="USD",D6*Supuestos!$B$2,IF(E6="%",D6*Supuestos!$B$3,D6))</f>
        <v>1.3125</v>
      </c>
      <c r="I6" s="10" t="n">
        <f aca="false">IF(F6="Único",H6,IF(F6="Mensual",H6*12,IF(F6="Anual",H6,0)))</f>
        <v>0</v>
      </c>
      <c r="J6" s="10" t="n">
        <f aca="false">IF(OR(F6="Por copia",F6="% precio"),H6,0)</f>
        <v>1.3125</v>
      </c>
      <c r="K6" s="10" t="n">
        <f aca="false">G6*I6</f>
        <v>0</v>
      </c>
      <c r="L6" s="10" t="n">
        <f aca="false">G6*J6</f>
        <v>1.3125</v>
      </c>
      <c r="M6" s="10" t="n">
        <f aca="false">K6/Supuestos!$B$15+L6</f>
        <v>1.3125</v>
      </c>
      <c r="N6" s="16" t="s">
        <v>166</v>
      </c>
      <c r="O6" s="16" t="s">
        <v>167</v>
      </c>
    </row>
    <row r="7" customFormat="false" ht="22.35" hidden="false" customHeight="false" outlineLevel="0" collapsed="false">
      <c r="A7" s="6" t="n">
        <v>2</v>
      </c>
      <c r="B7" s="11" t="s">
        <v>168</v>
      </c>
      <c r="C7" s="22" t="s">
        <v>169</v>
      </c>
      <c r="D7" s="32" t="n">
        <v>0</v>
      </c>
      <c r="E7" s="22" t="s">
        <v>170</v>
      </c>
      <c r="F7" s="22" t="s">
        <v>171</v>
      </c>
      <c r="G7" s="20" t="n">
        <v>1</v>
      </c>
      <c r="H7" s="10" t="n">
        <f aca="false">IF(E7="USD",D7*Supuestos!$B$2,IF(E7="%",D7*Supuestos!$B$3,D7))</f>
        <v>0</v>
      </c>
      <c r="I7" s="10" t="n">
        <f aca="false">IF(F7="Único",H7,IF(F7="Mensual",H7*12,IF(F7="Anual",H7,0)))</f>
        <v>0</v>
      </c>
      <c r="J7" s="10" t="n">
        <f aca="false">IF(OR(F7="Por copia",F7="% precio"),H7,0)</f>
        <v>0</v>
      </c>
      <c r="K7" s="10" t="n">
        <f aca="false">G7*I7</f>
        <v>0</v>
      </c>
      <c r="L7" s="10" t="n">
        <f aca="false">G7*J7</f>
        <v>0</v>
      </c>
      <c r="M7" s="10" t="n">
        <f aca="false">K7/Supuestos!$B$15+L7</f>
        <v>0</v>
      </c>
      <c r="N7" s="16" t="s">
        <v>172</v>
      </c>
      <c r="O7" s="16" t="s">
        <v>173</v>
      </c>
    </row>
    <row r="8" customFormat="false" ht="22.35" hidden="false" customHeight="false" outlineLevel="0" collapsed="false">
      <c r="A8" s="6" t="n">
        <v>3</v>
      </c>
      <c r="B8" s="11" t="s">
        <v>174</v>
      </c>
      <c r="C8" s="22" t="s">
        <v>169</v>
      </c>
      <c r="D8" s="32" t="n">
        <v>25</v>
      </c>
      <c r="E8" s="22" t="s">
        <v>170</v>
      </c>
      <c r="F8" s="22" t="s">
        <v>171</v>
      </c>
      <c r="G8" s="20" t="n">
        <v>0</v>
      </c>
      <c r="H8" s="10" t="n">
        <f aca="false">IF(E8="USD",D8*Supuestos!$B$2,IF(E8="%",D8*Supuestos!$B$3,D8))</f>
        <v>437.5</v>
      </c>
      <c r="I8" s="10" t="n">
        <f aca="false">IF(F8="Único",H8,IF(F8="Mensual",H8*12,IF(F8="Anual",H8,0)))</f>
        <v>5250</v>
      </c>
      <c r="J8" s="10" t="n">
        <f aca="false">IF(OR(F8="Por copia",F8="% precio"),H8,0)</f>
        <v>0</v>
      </c>
      <c r="K8" s="10" t="n">
        <f aca="false">G8*I8</f>
        <v>0</v>
      </c>
      <c r="L8" s="10" t="n">
        <f aca="false">G8*J8</f>
        <v>0</v>
      </c>
      <c r="M8" s="10" t="n">
        <f aca="false">K8/Supuestos!$B$15+L8</f>
        <v>0</v>
      </c>
      <c r="N8" s="16" t="s">
        <v>172</v>
      </c>
      <c r="O8" s="16" t="s">
        <v>175</v>
      </c>
    </row>
    <row r="9" customFormat="false" ht="15" hidden="false" customHeight="false" outlineLevel="0" collapsed="false">
      <c r="A9" s="6" t="n">
        <v>4</v>
      </c>
      <c r="B9" s="11" t="s">
        <v>176</v>
      </c>
      <c r="C9" s="22" t="s">
        <v>169</v>
      </c>
      <c r="D9" s="32" t="n">
        <v>0</v>
      </c>
      <c r="E9" s="22" t="s">
        <v>164</v>
      </c>
      <c r="F9" s="22" t="s">
        <v>177</v>
      </c>
      <c r="G9" s="20" t="n">
        <v>1</v>
      </c>
      <c r="H9" s="10" t="n">
        <f aca="false">IF(E9="USD",D9*Supuestos!$B$2,IF(E9="%",D9*Supuestos!$B$3,D9))</f>
        <v>0</v>
      </c>
      <c r="I9" s="10" t="n">
        <f aca="false">IF(F9="Único",H9,IF(F9="Mensual",H9*12,IF(F9="Anual",H9,0)))</f>
        <v>0</v>
      </c>
      <c r="J9" s="10" t="n">
        <f aca="false">IF(OR(F9="Por copia",F9="% precio"),H9,0)</f>
        <v>0</v>
      </c>
      <c r="K9" s="10" t="n">
        <f aca="false">G9*I9</f>
        <v>0</v>
      </c>
      <c r="L9" s="10" t="n">
        <f aca="false">G9*J9</f>
        <v>0</v>
      </c>
      <c r="M9" s="10" t="n">
        <f aca="false">K9/Supuestos!$B$15+L9</f>
        <v>0</v>
      </c>
      <c r="N9" s="16" t="s">
        <v>178</v>
      </c>
      <c r="O9" s="16"/>
    </row>
    <row r="10" customFormat="false" ht="15" hidden="false" customHeight="false" outlineLevel="0" collapsed="false">
      <c r="A10" s="6" t="n">
        <v>5</v>
      </c>
      <c r="B10" s="11" t="s">
        <v>179</v>
      </c>
      <c r="C10" s="22" t="s">
        <v>169</v>
      </c>
      <c r="D10" s="32" t="n">
        <v>0</v>
      </c>
      <c r="E10" s="22" t="s">
        <v>164</v>
      </c>
      <c r="F10" s="22" t="s">
        <v>177</v>
      </c>
      <c r="G10" s="20" t="n">
        <v>1</v>
      </c>
      <c r="H10" s="10" t="n">
        <f aca="false">IF(E10="USD",D10*Supuestos!$B$2,IF(E10="%",D10*Supuestos!$B$3,D10))</f>
        <v>0</v>
      </c>
      <c r="I10" s="10" t="n">
        <f aca="false">IF(F10="Único",H10,IF(F10="Mensual",H10*12,IF(F10="Anual",H10,0)))</f>
        <v>0</v>
      </c>
      <c r="J10" s="10" t="n">
        <f aca="false">IF(OR(F10="Por copia",F10="% precio"),H10,0)</f>
        <v>0</v>
      </c>
      <c r="K10" s="10" t="n">
        <f aca="false">G10*I10</f>
        <v>0</v>
      </c>
      <c r="L10" s="10" t="n">
        <f aca="false">G10*J10</f>
        <v>0</v>
      </c>
      <c r="M10" s="10" t="n">
        <f aca="false">K10/Supuestos!$B$15+L10</f>
        <v>0</v>
      </c>
      <c r="N10" s="16" t="s">
        <v>180</v>
      </c>
      <c r="O10" s="16" t="s">
        <v>181</v>
      </c>
    </row>
    <row r="11" customFormat="false" ht="15" hidden="false" customHeight="false" outlineLevel="0" collapsed="false">
      <c r="A11" s="6" t="n">
        <v>6</v>
      </c>
      <c r="B11" s="11" t="s">
        <v>182</v>
      </c>
      <c r="C11" s="22" t="s">
        <v>169</v>
      </c>
      <c r="D11" s="32" t="n">
        <v>0</v>
      </c>
      <c r="E11" s="22" t="s">
        <v>164</v>
      </c>
      <c r="F11" s="22" t="s">
        <v>177</v>
      </c>
      <c r="G11" s="20" t="n">
        <v>1</v>
      </c>
      <c r="H11" s="10" t="n">
        <f aca="false">IF(E11="USD",D11*Supuestos!$B$2,IF(E11="%",D11*Supuestos!$B$3,D11))</f>
        <v>0</v>
      </c>
      <c r="I11" s="10" t="n">
        <f aca="false">IF(F11="Único",H11,IF(F11="Mensual",H11*12,IF(F11="Anual",H11,0)))</f>
        <v>0</v>
      </c>
      <c r="J11" s="10" t="n">
        <f aca="false">IF(OR(F11="Por copia",F11="% precio"),H11,0)</f>
        <v>0</v>
      </c>
      <c r="K11" s="10" t="n">
        <f aca="false">G11*I11</f>
        <v>0</v>
      </c>
      <c r="L11" s="10" t="n">
        <f aca="false">G11*J11</f>
        <v>0</v>
      </c>
      <c r="M11" s="10" t="n">
        <f aca="false">K11/Supuestos!$B$15+L11</f>
        <v>0</v>
      </c>
      <c r="N11" s="16" t="s">
        <v>183</v>
      </c>
      <c r="O11" s="16" t="s">
        <v>184</v>
      </c>
    </row>
    <row r="12" customFormat="false" ht="22.35" hidden="false" customHeight="false" outlineLevel="0" collapsed="false">
      <c r="A12" s="6" t="n">
        <v>7</v>
      </c>
      <c r="B12" s="11" t="s">
        <v>185</v>
      </c>
      <c r="C12" s="22" t="s">
        <v>169</v>
      </c>
      <c r="D12" s="32" t="n">
        <v>99</v>
      </c>
      <c r="E12" s="22" t="s">
        <v>170</v>
      </c>
      <c r="F12" s="22" t="s">
        <v>186</v>
      </c>
      <c r="G12" s="20" t="n">
        <v>0</v>
      </c>
      <c r="H12" s="10" t="n">
        <f aca="false">IF(E12="USD",D12*Supuestos!$B$2,IF(E12="%",D12*Supuestos!$B$3,D12))</f>
        <v>1732.5</v>
      </c>
      <c r="I12" s="10" t="n">
        <f aca="false">IF(F12="Único",H12,IF(F12="Mensual",H12*12,IF(F12="Anual",H12,0)))</f>
        <v>1732.5</v>
      </c>
      <c r="J12" s="10" t="n">
        <f aca="false">IF(OR(F12="Por copia",F12="% precio"),H12,0)</f>
        <v>0</v>
      </c>
      <c r="K12" s="10" t="n">
        <f aca="false">G12*I12</f>
        <v>0</v>
      </c>
      <c r="L12" s="10" t="n">
        <f aca="false">G12*J12</f>
        <v>0</v>
      </c>
      <c r="M12" s="10" t="n">
        <f aca="false">K12/Supuestos!$B$15+L12</f>
        <v>0</v>
      </c>
      <c r="N12" s="33" t="s">
        <v>187</v>
      </c>
      <c r="O12" s="16" t="s">
        <v>188</v>
      </c>
    </row>
    <row r="13" customFormat="false" ht="15" hidden="false" customHeight="false" outlineLevel="0" collapsed="false">
      <c r="A13" s="6" t="n">
        <v>8</v>
      </c>
      <c r="B13" s="11" t="s">
        <v>189</v>
      </c>
      <c r="C13" s="22" t="s">
        <v>169</v>
      </c>
      <c r="D13" s="32" t="n">
        <v>0</v>
      </c>
      <c r="E13" s="22" t="s">
        <v>164</v>
      </c>
      <c r="F13" s="22" t="s">
        <v>177</v>
      </c>
      <c r="G13" s="20" t="n">
        <v>1</v>
      </c>
      <c r="H13" s="10" t="n">
        <f aca="false">IF(E13="USD",D13*Supuestos!$B$2,IF(E13="%",D13*Supuestos!$B$3,D13))</f>
        <v>0</v>
      </c>
      <c r="I13" s="10" t="n">
        <f aca="false">IF(F13="Único",H13,IF(F13="Mensual",H13*12,IF(F13="Anual",H13,0)))</f>
        <v>0</v>
      </c>
      <c r="J13" s="10" t="n">
        <f aca="false">IF(OR(F13="Por copia",F13="% precio"),H13,0)</f>
        <v>0</v>
      </c>
      <c r="K13" s="10" t="n">
        <f aca="false">G13*I13</f>
        <v>0</v>
      </c>
      <c r="L13" s="10" t="n">
        <f aca="false">G13*J13</f>
        <v>0</v>
      </c>
      <c r="M13" s="10" t="n">
        <f aca="false">K13/Supuestos!$B$15+L13</f>
        <v>0</v>
      </c>
      <c r="N13" s="16" t="s">
        <v>183</v>
      </c>
      <c r="O13" s="16"/>
    </row>
    <row r="14" customFormat="false" ht="15" hidden="false" customHeight="false" outlineLevel="0" collapsed="false">
      <c r="A14" s="6" t="n">
        <v>9</v>
      </c>
      <c r="B14" s="11" t="s">
        <v>190</v>
      </c>
      <c r="C14" s="22" t="s">
        <v>169</v>
      </c>
      <c r="D14" s="32" t="n">
        <v>0</v>
      </c>
      <c r="E14" s="22" t="s">
        <v>164</v>
      </c>
      <c r="F14" s="22" t="s">
        <v>171</v>
      </c>
      <c r="G14" s="20" t="n">
        <v>1</v>
      </c>
      <c r="H14" s="10" t="n">
        <f aca="false">IF(E14="USD",D14*Supuestos!$B$2,IF(E14="%",D14*Supuestos!$B$3,D14))</f>
        <v>0</v>
      </c>
      <c r="I14" s="10" t="n">
        <f aca="false">IF(F14="Único",H14,IF(F14="Mensual",H14*12,IF(F14="Anual",H14,0)))</f>
        <v>0</v>
      </c>
      <c r="J14" s="10" t="n">
        <f aca="false">IF(OR(F14="Por copia",F14="% precio"),H14,0)</f>
        <v>0</v>
      </c>
      <c r="K14" s="10" t="n">
        <f aca="false">G14*I14</f>
        <v>0</v>
      </c>
      <c r="L14" s="10" t="n">
        <f aca="false">G14*J14</f>
        <v>0</v>
      </c>
      <c r="M14" s="10" t="n">
        <f aca="false">K14/Supuestos!$B$15+L14</f>
        <v>0</v>
      </c>
      <c r="N14" s="33" t="s">
        <v>191</v>
      </c>
      <c r="O14" s="16" t="s">
        <v>192</v>
      </c>
    </row>
    <row r="15" customFormat="false" ht="15" hidden="false" customHeight="false" outlineLevel="0" collapsed="false">
      <c r="A15" s="6" t="n">
        <v>10</v>
      </c>
      <c r="B15" s="11" t="s">
        <v>193</v>
      </c>
      <c r="C15" s="22" t="s">
        <v>169</v>
      </c>
      <c r="D15" s="32" t="n">
        <v>0</v>
      </c>
      <c r="E15" s="22" t="s">
        <v>164</v>
      </c>
      <c r="F15" s="22" t="s">
        <v>177</v>
      </c>
      <c r="G15" s="20" t="n">
        <v>1</v>
      </c>
      <c r="H15" s="10" t="n">
        <f aca="false">IF(E15="USD",D15*Supuestos!$B$2,IF(E15="%",D15*Supuestos!$B$3,D15))</f>
        <v>0</v>
      </c>
      <c r="I15" s="10" t="n">
        <f aca="false">IF(F15="Único",H15,IF(F15="Mensual",H15*12,IF(F15="Anual",H15,0)))</f>
        <v>0</v>
      </c>
      <c r="J15" s="10" t="n">
        <f aca="false">IF(OR(F15="Por copia",F15="% precio"),H15,0)</f>
        <v>0</v>
      </c>
      <c r="K15" s="10" t="n">
        <f aca="false">G15*I15</f>
        <v>0</v>
      </c>
      <c r="L15" s="10" t="n">
        <f aca="false">G15*J15</f>
        <v>0</v>
      </c>
      <c r="M15" s="10" t="n">
        <f aca="false">K15/Supuestos!$B$15+L15</f>
        <v>0</v>
      </c>
      <c r="N15" s="16" t="s">
        <v>183</v>
      </c>
      <c r="O15" s="16" t="s">
        <v>194</v>
      </c>
    </row>
    <row r="16" customFormat="false" ht="15" hidden="false" customHeight="false" outlineLevel="0" collapsed="false">
      <c r="B16" s="34" t="s">
        <v>195</v>
      </c>
      <c r="I16" s="35" t="n">
        <f aca="false">SUM(I6:I15)</f>
        <v>6982.5</v>
      </c>
      <c r="J16" s="35" t="n">
        <f aca="false">SUM(J6:J15)</f>
        <v>1.3125</v>
      </c>
      <c r="K16" s="35" t="n">
        <f aca="false">SUM(K6:K15)</f>
        <v>0</v>
      </c>
      <c r="L16" s="35" t="n">
        <f aca="false">SUM(L6:L15)</f>
        <v>1.3125</v>
      </c>
      <c r="M16" s="35" t="n">
        <f aca="false">SUM(M6:M15)</f>
        <v>1.3125</v>
      </c>
    </row>
    <row r="18" customFormat="false" ht="15" hidden="false" customHeight="false" outlineLevel="0" collapsed="false">
      <c r="A18" s="30" t="s">
        <v>196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customFormat="false" ht="15" hidden="false" customHeight="false" outlineLevel="0" collapsed="false">
      <c r="A19" s="6" t="n">
        <v>1</v>
      </c>
      <c r="B19" s="11" t="s">
        <v>197</v>
      </c>
      <c r="C19" s="22" t="s">
        <v>198</v>
      </c>
      <c r="D19" s="12" t="n">
        <f aca="false">Supuestos!B4</f>
        <v>0.3</v>
      </c>
      <c r="E19" s="22" t="s">
        <v>199</v>
      </c>
      <c r="F19" s="22" t="s">
        <v>200</v>
      </c>
      <c r="G19" s="20" t="n">
        <v>1</v>
      </c>
      <c r="H19" s="10" t="n">
        <f aca="false">IF(E19="USD",D19*Supuestos!$B$2,IF(E19="%",D19*Supuestos!$B$3,D19))</f>
        <v>74.7</v>
      </c>
      <c r="I19" s="10" t="n">
        <f aca="false">IF(F19="Único",H19,IF(F19="Mensual",H19*12,IF(F19="Anual",H19,0)))</f>
        <v>0</v>
      </c>
      <c r="J19" s="10" t="n">
        <f aca="false">IF(OR(F19="Por copia",F19="% precio"),H19,0)</f>
        <v>74.7</v>
      </c>
      <c r="K19" s="10" t="n">
        <f aca="false">G19*I19</f>
        <v>0</v>
      </c>
      <c r="L19" s="10" t="n">
        <f aca="false">G19*J19</f>
        <v>74.7</v>
      </c>
      <c r="M19" s="10" t="n">
        <f aca="false">K19/Supuestos!$B$15+L19</f>
        <v>74.7</v>
      </c>
      <c r="N19" s="16" t="s">
        <v>201</v>
      </c>
      <c r="O19" s="16" t="s">
        <v>202</v>
      </c>
    </row>
    <row r="20" customFormat="false" ht="15" hidden="false" customHeight="false" outlineLevel="0" collapsed="false">
      <c r="A20" s="6" t="n">
        <v>2</v>
      </c>
      <c r="B20" s="11" t="s">
        <v>203</v>
      </c>
      <c r="C20" s="22" t="s">
        <v>198</v>
      </c>
      <c r="D20" s="32" t="n">
        <v>100</v>
      </c>
      <c r="E20" s="22" t="s">
        <v>170</v>
      </c>
      <c r="F20" s="22" t="s">
        <v>177</v>
      </c>
      <c r="G20" s="20" t="n">
        <v>0</v>
      </c>
      <c r="H20" s="10" t="n">
        <f aca="false">IF(E20="USD",D20*Supuestos!$B$2,IF(E20="%",D20*Supuestos!$B$3,D20))</f>
        <v>1750</v>
      </c>
      <c r="I20" s="10" t="n">
        <f aca="false">IF(F20="Único",H20,IF(F20="Mensual",H20*12,IF(F20="Anual",H20,0)))</f>
        <v>1750</v>
      </c>
      <c r="J20" s="10" t="n">
        <f aca="false">IF(OR(F20="Por copia",F20="% precio"),H20,0)</f>
        <v>0</v>
      </c>
      <c r="K20" s="10" t="n">
        <f aca="false">G20*I20</f>
        <v>0</v>
      </c>
      <c r="L20" s="10" t="n">
        <f aca="false">G20*J20</f>
        <v>0</v>
      </c>
      <c r="M20" s="10" t="n">
        <f aca="false">K20/Supuestos!$B$15+L20</f>
        <v>0</v>
      </c>
      <c r="N20" s="16" t="s">
        <v>172</v>
      </c>
      <c r="O20" s="16" t="s">
        <v>204</v>
      </c>
    </row>
    <row r="21" customFormat="false" ht="15" hidden="false" customHeight="false" outlineLevel="0" collapsed="false">
      <c r="A21" s="6" t="n">
        <v>3</v>
      </c>
      <c r="B21" s="11" t="s">
        <v>205</v>
      </c>
      <c r="C21" s="22" t="s">
        <v>169</v>
      </c>
      <c r="D21" s="32" t="n">
        <v>12</v>
      </c>
      <c r="E21" s="22" t="s">
        <v>170</v>
      </c>
      <c r="F21" s="22" t="s">
        <v>186</v>
      </c>
      <c r="G21" s="20" t="n">
        <v>0</v>
      </c>
      <c r="H21" s="10" t="n">
        <f aca="false">IF(E21="USD",D21*Supuestos!$B$2,IF(E21="%",D21*Supuestos!$B$3,D21))</f>
        <v>210</v>
      </c>
      <c r="I21" s="10" t="n">
        <f aca="false">IF(F21="Único",H21,IF(F21="Mensual",H21*12,IF(F21="Anual",H21,0)))</f>
        <v>210</v>
      </c>
      <c r="J21" s="10" t="n">
        <f aca="false">IF(OR(F21="Por copia",F21="% precio"),H21,0)</f>
        <v>0</v>
      </c>
      <c r="K21" s="10" t="n">
        <f aca="false">G21*I21</f>
        <v>0</v>
      </c>
      <c r="L21" s="10" t="n">
        <f aca="false">G21*J21</f>
        <v>0</v>
      </c>
      <c r="M21" s="10" t="n">
        <f aca="false">K21/Supuestos!$B$15+L21</f>
        <v>0</v>
      </c>
      <c r="N21" s="33" t="s">
        <v>206</v>
      </c>
      <c r="O21" s="16" t="s">
        <v>207</v>
      </c>
    </row>
    <row r="22" customFormat="false" ht="15" hidden="false" customHeight="false" outlineLevel="0" collapsed="false">
      <c r="A22" s="6" t="n">
        <v>4</v>
      </c>
      <c r="B22" s="11" t="s">
        <v>208</v>
      </c>
      <c r="C22" s="22" t="s">
        <v>169</v>
      </c>
      <c r="D22" s="32" t="n">
        <v>0</v>
      </c>
      <c r="E22" s="22" t="s">
        <v>164</v>
      </c>
      <c r="F22" s="22" t="s">
        <v>177</v>
      </c>
      <c r="G22" s="20" t="n">
        <v>1</v>
      </c>
      <c r="H22" s="10" t="n">
        <f aca="false">IF(E22="USD",D22*Supuestos!$B$2,IF(E22="%",D22*Supuestos!$B$3,D22))</f>
        <v>0</v>
      </c>
      <c r="I22" s="10" t="n">
        <f aca="false">IF(F22="Único",H22,IF(F22="Mensual",H22*12,IF(F22="Anual",H22,0)))</f>
        <v>0</v>
      </c>
      <c r="J22" s="10" t="n">
        <f aca="false">IF(OR(F22="Por copia",F22="% precio"),H22,0)</f>
        <v>0</v>
      </c>
      <c r="K22" s="10" t="n">
        <f aca="false">G22*I22</f>
        <v>0</v>
      </c>
      <c r="L22" s="10" t="n">
        <f aca="false">G22*J22</f>
        <v>0</v>
      </c>
      <c r="M22" s="10" t="n">
        <f aca="false">K22/Supuestos!$B$15+L22</f>
        <v>0</v>
      </c>
      <c r="N22" s="16" t="s">
        <v>183</v>
      </c>
      <c r="O22" s="16"/>
    </row>
    <row r="23" customFormat="false" ht="15" hidden="false" customHeight="false" outlineLevel="0" collapsed="false">
      <c r="A23" s="6" t="n">
        <v>5</v>
      </c>
      <c r="B23" s="11" t="s">
        <v>209</v>
      </c>
      <c r="C23" s="22" t="s">
        <v>169</v>
      </c>
      <c r="D23" s="32" t="n">
        <v>0</v>
      </c>
      <c r="E23" s="22" t="s">
        <v>164</v>
      </c>
      <c r="F23" s="22" t="s">
        <v>177</v>
      </c>
      <c r="G23" s="20" t="n">
        <v>1</v>
      </c>
      <c r="H23" s="10" t="n">
        <f aca="false">IF(E23="USD",D23*Supuestos!$B$2,IF(E23="%",D23*Supuestos!$B$3,D23))</f>
        <v>0</v>
      </c>
      <c r="I23" s="10" t="n">
        <f aca="false">IF(F23="Único",H23,IF(F23="Mensual",H23*12,IF(F23="Anual",H23,0)))</f>
        <v>0</v>
      </c>
      <c r="J23" s="10" t="n">
        <f aca="false">IF(OR(F23="Por copia",F23="% precio"),H23,0)</f>
        <v>0</v>
      </c>
      <c r="K23" s="10" t="n">
        <f aca="false">G23*I23</f>
        <v>0</v>
      </c>
      <c r="L23" s="10" t="n">
        <f aca="false">G23*J23</f>
        <v>0</v>
      </c>
      <c r="M23" s="10" t="n">
        <f aca="false">K23/Supuestos!$B$15+L23</f>
        <v>0</v>
      </c>
      <c r="N23" s="16" t="s">
        <v>183</v>
      </c>
      <c r="O23" s="16"/>
    </row>
    <row r="24" customFormat="false" ht="15" hidden="false" customHeight="false" outlineLevel="0" collapsed="false">
      <c r="A24" s="6" t="n">
        <v>6</v>
      </c>
      <c r="B24" s="11" t="s">
        <v>210</v>
      </c>
      <c r="C24" s="22" t="s">
        <v>169</v>
      </c>
      <c r="D24" s="32" t="n">
        <v>0</v>
      </c>
      <c r="E24" s="22" t="s">
        <v>164</v>
      </c>
      <c r="F24" s="22" t="s">
        <v>171</v>
      </c>
      <c r="G24" s="20" t="n">
        <v>1</v>
      </c>
      <c r="H24" s="10" t="n">
        <f aca="false">IF(E24="USD",D24*Supuestos!$B$2,IF(E24="%",D24*Supuestos!$B$3,D24))</f>
        <v>0</v>
      </c>
      <c r="I24" s="10" t="n">
        <f aca="false">IF(F24="Único",H24,IF(F24="Mensual",H24*12,IF(F24="Anual",H24,0)))</f>
        <v>0</v>
      </c>
      <c r="J24" s="10" t="n">
        <f aca="false">IF(OR(F24="Por copia",F24="% precio"),H24,0)</f>
        <v>0</v>
      </c>
      <c r="K24" s="10" t="n">
        <f aca="false">G24*I24</f>
        <v>0</v>
      </c>
      <c r="L24" s="10" t="n">
        <f aca="false">G24*J24</f>
        <v>0</v>
      </c>
      <c r="M24" s="10" t="n">
        <f aca="false">K24/Supuestos!$B$15+L24</f>
        <v>0</v>
      </c>
      <c r="N24" s="16" t="s">
        <v>183</v>
      </c>
      <c r="O24" s="16" t="s">
        <v>211</v>
      </c>
    </row>
    <row r="25" customFormat="false" ht="15" hidden="false" customHeight="false" outlineLevel="0" collapsed="false">
      <c r="A25" s="6" t="n">
        <v>7</v>
      </c>
      <c r="B25" s="11" t="s">
        <v>212</v>
      </c>
      <c r="C25" s="22" t="s">
        <v>169</v>
      </c>
      <c r="D25" s="32" t="n">
        <v>0</v>
      </c>
      <c r="E25" s="22" t="s">
        <v>164</v>
      </c>
      <c r="F25" s="22" t="s">
        <v>171</v>
      </c>
      <c r="G25" s="20" t="n">
        <v>1</v>
      </c>
      <c r="H25" s="10" t="n">
        <f aca="false">IF(E25="USD",D25*Supuestos!$B$2,IF(E25="%",D25*Supuestos!$B$3,D25))</f>
        <v>0</v>
      </c>
      <c r="I25" s="10" t="n">
        <f aca="false">IF(F25="Único",H25,IF(F25="Mensual",H25*12,IF(F25="Anual",H25,0)))</f>
        <v>0</v>
      </c>
      <c r="J25" s="10" t="n">
        <f aca="false">IF(OR(F25="Por copia",F25="% precio"),H25,0)</f>
        <v>0</v>
      </c>
      <c r="K25" s="10" t="n">
        <f aca="false">G25*I25</f>
        <v>0</v>
      </c>
      <c r="L25" s="10" t="n">
        <f aca="false">G25*J25</f>
        <v>0</v>
      </c>
      <c r="M25" s="10" t="n">
        <f aca="false">K25/Supuestos!$B$15+L25</f>
        <v>0</v>
      </c>
      <c r="N25" s="16" t="s">
        <v>183</v>
      </c>
      <c r="O25" s="16" t="s">
        <v>211</v>
      </c>
    </row>
    <row r="26" customFormat="false" ht="15" hidden="false" customHeight="false" outlineLevel="0" collapsed="false">
      <c r="A26" s="6" t="n">
        <v>8</v>
      </c>
      <c r="B26" s="11" t="s">
        <v>213</v>
      </c>
      <c r="C26" s="22" t="s">
        <v>198</v>
      </c>
      <c r="D26" s="32" t="n">
        <v>0</v>
      </c>
      <c r="E26" s="22" t="s">
        <v>164</v>
      </c>
      <c r="F26" s="22" t="s">
        <v>177</v>
      </c>
      <c r="G26" s="20" t="n">
        <v>1</v>
      </c>
      <c r="H26" s="10" t="n">
        <f aca="false">IF(E26="USD",D26*Supuestos!$B$2,IF(E26="%",D26*Supuestos!$B$3,D26))</f>
        <v>0</v>
      </c>
      <c r="I26" s="10" t="n">
        <f aca="false">IF(F26="Único",H26,IF(F26="Mensual",H26*12,IF(F26="Anual",H26,0)))</f>
        <v>0</v>
      </c>
      <c r="J26" s="10" t="n">
        <f aca="false">IF(OR(F26="Por copia",F26="% precio"),H26,0)</f>
        <v>0</v>
      </c>
      <c r="K26" s="10" t="n">
        <f aca="false">G26*I26</f>
        <v>0</v>
      </c>
      <c r="L26" s="10" t="n">
        <f aca="false">G26*J26</f>
        <v>0</v>
      </c>
      <c r="M26" s="10" t="n">
        <f aca="false">K26/Supuestos!$B$15+L26</f>
        <v>0</v>
      </c>
      <c r="N26" s="16" t="s">
        <v>183</v>
      </c>
      <c r="O26" s="16" t="s">
        <v>214</v>
      </c>
    </row>
    <row r="27" customFormat="false" ht="15" hidden="false" customHeight="false" outlineLevel="0" collapsed="false">
      <c r="A27" s="6" t="n">
        <v>9</v>
      </c>
      <c r="B27" s="11" t="s">
        <v>215</v>
      </c>
      <c r="C27" s="22" t="s">
        <v>169</v>
      </c>
      <c r="D27" s="32" t="n">
        <v>0</v>
      </c>
      <c r="E27" s="22" t="s">
        <v>164</v>
      </c>
      <c r="F27" s="22" t="s">
        <v>165</v>
      </c>
      <c r="G27" s="20" t="n">
        <v>0</v>
      </c>
      <c r="H27" s="10" t="n">
        <f aca="false">IF(E27="USD",D27*Supuestos!$B$2,IF(E27="%",D27*Supuestos!$B$3,D27))</f>
        <v>0</v>
      </c>
      <c r="I27" s="10" t="n">
        <f aca="false">IF(F27="Único",H27,IF(F27="Mensual",H27*12,IF(F27="Anual",H27,0)))</f>
        <v>0</v>
      </c>
      <c r="J27" s="10" t="n">
        <f aca="false">IF(OR(F27="Por copia",F27="% precio"),H27,0)</f>
        <v>0</v>
      </c>
      <c r="K27" s="10" t="n">
        <f aca="false">G27*I27</f>
        <v>0</v>
      </c>
      <c r="L27" s="10" t="n">
        <f aca="false">G27*J27</f>
        <v>0</v>
      </c>
      <c r="M27" s="10" t="n">
        <f aca="false">K27/Supuestos!$B$15+L27</f>
        <v>0</v>
      </c>
      <c r="N27" s="33" t="s">
        <v>216</v>
      </c>
      <c r="O27" s="16" t="s">
        <v>217</v>
      </c>
    </row>
    <row r="28" customFormat="false" ht="15" hidden="false" customHeight="false" outlineLevel="0" collapsed="false">
      <c r="A28" s="6" t="n">
        <v>10</v>
      </c>
      <c r="B28" s="11" t="s">
        <v>218</v>
      </c>
      <c r="C28" s="22" t="s">
        <v>198</v>
      </c>
      <c r="D28" s="32" t="n">
        <v>0</v>
      </c>
      <c r="E28" s="22" t="s">
        <v>164</v>
      </c>
      <c r="F28" s="22" t="s">
        <v>186</v>
      </c>
      <c r="G28" s="20" t="n">
        <v>0</v>
      </c>
      <c r="H28" s="10" t="n">
        <f aca="false">IF(E28="USD",D28*Supuestos!$B$2,IF(E28="%",D28*Supuestos!$B$3,D28))</f>
        <v>0</v>
      </c>
      <c r="I28" s="10" t="n">
        <f aca="false">IF(F28="Único",H28,IF(F28="Mensual",H28*12,IF(F28="Anual",H28,0)))</f>
        <v>0</v>
      </c>
      <c r="J28" s="10" t="n">
        <f aca="false">IF(OR(F28="Por copia",F28="% precio"),H28,0)</f>
        <v>0</v>
      </c>
      <c r="K28" s="10" t="n">
        <f aca="false">G28*I28</f>
        <v>0</v>
      </c>
      <c r="L28" s="10" t="n">
        <f aca="false">G28*J28</f>
        <v>0</v>
      </c>
      <c r="M28" s="10" t="n">
        <f aca="false">K28/Supuestos!$B$15+L28</f>
        <v>0</v>
      </c>
      <c r="N28" s="33" t="s">
        <v>219</v>
      </c>
      <c r="O28" s="16" t="s">
        <v>220</v>
      </c>
    </row>
    <row r="29" customFormat="false" ht="15" hidden="false" customHeight="false" outlineLevel="0" collapsed="false">
      <c r="B29" s="34" t="s">
        <v>221</v>
      </c>
      <c r="I29" s="35" t="n">
        <f aca="false">SUM(I19:I28)</f>
        <v>1960</v>
      </c>
      <c r="J29" s="35" t="n">
        <f aca="false">SUM(J19:J28)</f>
        <v>74.7</v>
      </c>
      <c r="K29" s="35" t="n">
        <f aca="false">SUM(K19:K28)</f>
        <v>0</v>
      </c>
      <c r="L29" s="35" t="n">
        <f aca="false">SUM(L19:L28)</f>
        <v>74.7</v>
      </c>
      <c r="M29" s="35" t="n">
        <f aca="false">SUM(M19:M28)</f>
        <v>74.7</v>
      </c>
    </row>
    <row r="31" customFormat="false" ht="15" hidden="false" customHeight="false" outlineLevel="0" collapsed="false">
      <c r="B31" s="34" t="s">
        <v>222</v>
      </c>
      <c r="I31" s="35" t="n">
        <f aca="false">I16+I29</f>
        <v>8942.5</v>
      </c>
      <c r="J31" s="35" t="n">
        <f aca="false">J16+J29</f>
        <v>76.0125</v>
      </c>
      <c r="K31" s="35" t="n">
        <f aca="false">K16+K29</f>
        <v>0</v>
      </c>
      <c r="L31" s="35" t="n">
        <f aca="false">L16+L29</f>
        <v>76.0125</v>
      </c>
      <c r="M31" s="35" t="n">
        <f aca="false">M16+M29</f>
        <v>76.0125</v>
      </c>
    </row>
    <row r="33" customFormat="false" ht="15" hidden="false" customHeight="false" outlineLevel="0" collapsed="false">
      <c r="B33" s="8" t="s">
        <v>223</v>
      </c>
    </row>
    <row r="34" customFormat="false" ht="15" hidden="false" customHeight="false" outlineLevel="0" collapsed="false">
      <c r="B34" s="6" t="s">
        <v>163</v>
      </c>
      <c r="C34" s="36" t="n">
        <f aca="false">COUNTIF(C6:C15,"D")+COUNTIF(C19:C28,"D")</f>
        <v>1</v>
      </c>
    </row>
    <row r="35" customFormat="false" ht="15" hidden="false" customHeight="false" outlineLevel="0" collapsed="false">
      <c r="B35" s="6" t="s">
        <v>169</v>
      </c>
      <c r="C35" s="36" t="n">
        <f aca="false">COUNTIF(C6:C15,"F")+COUNTIF(C19:C28,"F")</f>
        <v>15</v>
      </c>
    </row>
    <row r="36" customFormat="false" ht="15" hidden="false" customHeight="false" outlineLevel="0" collapsed="false">
      <c r="B36" s="6" t="s">
        <v>198</v>
      </c>
      <c r="C36" s="36" t="n">
        <f aca="false">COUNTIF(C6:C15,"S")+COUNTIF(C19:C28,"S")</f>
        <v>4</v>
      </c>
    </row>
    <row r="38" customFormat="false" ht="15" hidden="false" customHeight="false" outlineLevel="0" collapsed="false">
      <c r="B38" s="2" t="s">
        <v>224</v>
      </c>
    </row>
    <row r="39" customFormat="false" ht="15" hidden="false" customHeight="false" outlineLevel="0" collapsed="false">
      <c r="B39" s="2" t="s">
        <v>225</v>
      </c>
    </row>
  </sheetData>
  <dataValidations count="3">
    <dataValidation allowBlank="false" errorStyle="stop" operator="between" showDropDown="false" showErrorMessage="false" showInputMessage="false" sqref="C6:C15 C19:C28" type="list">
      <formula1>"D,F,S"</formula1>
      <formula2>0</formula2>
    </dataValidation>
    <dataValidation allowBlank="false" errorStyle="stop" operator="between" showDropDown="false" showErrorMessage="false" showInputMessage="false" sqref="E6:E15 E19:E28" type="list">
      <formula1>"USD,MXN,%"</formula1>
      <formula2>0</formula2>
    </dataValidation>
    <dataValidation allowBlank="false" errorStyle="stop" operator="between" showDropDown="false" showErrorMessage="false" showInputMessage="false" sqref="F6:F15 F19:F28" type="list">
      <formula1>"Único,Mensual,Anual,Por copia,% precio"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3" customFormat="false" ht="15" hidden="false" customHeight="false" outlineLevel="0" collapsed="false">
      <c r="A3" s="3" t="s">
        <v>228</v>
      </c>
      <c r="B3" s="3" t="s">
        <v>164</v>
      </c>
      <c r="C3" s="3" t="s">
        <v>160</v>
      </c>
    </row>
    <row r="4" customFormat="false" ht="15" hidden="false" customHeight="false" outlineLevel="0" collapsed="false">
      <c r="A4" s="6" t="s">
        <v>229</v>
      </c>
      <c r="B4" s="37" t="n">
        <f aca="false">Supuestos!B8</f>
        <v>80</v>
      </c>
      <c r="C4" s="2" t="s">
        <v>230</v>
      </c>
    </row>
    <row r="5" customFormat="false" ht="15" hidden="false" customHeight="false" outlineLevel="0" collapsed="false">
      <c r="A5" s="6" t="s">
        <v>231</v>
      </c>
      <c r="B5" s="38" t="n">
        <f aca="false">Supuestos!B5</f>
        <v>80</v>
      </c>
      <c r="C5" s="2" t="s">
        <v>232</v>
      </c>
    </row>
    <row r="6" customFormat="false" ht="15" hidden="false" customHeight="false" outlineLevel="0" collapsed="false">
      <c r="A6" s="6" t="s">
        <v>233</v>
      </c>
      <c r="B6" s="10" t="n">
        <f aca="false">B4*B5</f>
        <v>6400</v>
      </c>
      <c r="C6" s="2"/>
    </row>
    <row r="7" customFormat="false" ht="15" hidden="false" customHeight="false" outlineLevel="0" collapsed="false">
      <c r="A7" s="6" t="s">
        <v>234</v>
      </c>
      <c r="B7" s="39" t="n">
        <v>300</v>
      </c>
      <c r="C7" s="2" t="s">
        <v>235</v>
      </c>
    </row>
    <row r="8" customFormat="false" ht="15" hidden="false" customHeight="false" outlineLevel="0" collapsed="false">
      <c r="A8" s="6" t="s">
        <v>236</v>
      </c>
      <c r="B8" s="32" t="n">
        <v>0</v>
      </c>
      <c r="C8" s="2" t="s">
        <v>237</v>
      </c>
    </row>
    <row r="9" customFormat="false" ht="15" hidden="false" customHeight="false" outlineLevel="0" collapsed="false">
      <c r="A9" s="6" t="s">
        <v>238</v>
      </c>
      <c r="B9" s="10" t="n">
        <f aca="false">B6+B7+B8</f>
        <v>6700</v>
      </c>
      <c r="C9" s="2"/>
    </row>
    <row r="10" customFormat="false" ht="15" hidden="false" customHeight="false" outlineLevel="0" collapsed="false">
      <c r="A10" s="6" t="s">
        <v>239</v>
      </c>
      <c r="B10" s="10" t="n">
        <f aca="false">B9*Supuestos!B6</f>
        <v>1005</v>
      </c>
      <c r="C10" s="2"/>
    </row>
    <row r="11" customFormat="false" ht="15" hidden="false" customHeight="false" outlineLevel="0" collapsed="false">
      <c r="A11" s="6" t="s">
        <v>240</v>
      </c>
      <c r="B11" s="10" t="n">
        <f aca="false">B9+B10</f>
        <v>7705</v>
      </c>
      <c r="C11" s="2"/>
    </row>
    <row r="12" customFormat="false" ht="15" hidden="false" customHeight="false" outlineLevel="0" collapsed="false">
      <c r="A12" s="6" t="s">
        <v>34</v>
      </c>
      <c r="B12" s="10" t="n">
        <f aca="false">B11*Supuestos!B7</f>
        <v>2311.5</v>
      </c>
      <c r="C12" s="2"/>
    </row>
    <row r="13" customFormat="false" ht="15" hidden="false" customHeight="false" outlineLevel="0" collapsed="false">
      <c r="A13" s="8" t="s">
        <v>241</v>
      </c>
      <c r="B13" s="9" t="n">
        <f aca="false">B11+B12</f>
        <v>10016.5</v>
      </c>
      <c r="C13" s="2"/>
    </row>
    <row r="16" customFormat="false" ht="31.5" hidden="false" customHeight="true" outlineLevel="0" collapsed="false">
      <c r="A16" s="3" t="s">
        <v>122</v>
      </c>
      <c r="B16" s="3" t="s">
        <v>242</v>
      </c>
      <c r="C16" s="3" t="s">
        <v>243</v>
      </c>
      <c r="D16" s="3" t="s">
        <v>244</v>
      </c>
      <c r="E16" s="3" t="s">
        <v>245</v>
      </c>
      <c r="F16" s="3" t="s">
        <v>246</v>
      </c>
    </row>
    <row r="17" customFormat="false" ht="15" hidden="false" customHeight="false" outlineLevel="0" collapsed="false">
      <c r="A17" s="6" t="s">
        <v>247</v>
      </c>
      <c r="B17" s="20" t="n">
        <v>3</v>
      </c>
      <c r="C17" s="40" t="n">
        <f aca="false">B17*$B$13</f>
        <v>30049.5</v>
      </c>
      <c r="D17" s="41" t="n">
        <f aca="false">C17/Supuestos!$B$2</f>
        <v>1717.11428571429</v>
      </c>
      <c r="E17" s="40" t="n">
        <f aca="false">B17*($B$7+$B$8)*(1+Supuestos!$B$6)*(1+Supuestos!$B$7)</f>
        <v>1345.5</v>
      </c>
      <c r="F17" s="42" t="n">
        <f aca="false">B17*$B$4</f>
        <v>240</v>
      </c>
    </row>
    <row r="18" customFormat="false" ht="15" hidden="false" customHeight="false" outlineLevel="0" collapsed="false">
      <c r="A18" s="6" t="s">
        <v>248</v>
      </c>
      <c r="B18" s="20" t="n">
        <v>5</v>
      </c>
      <c r="C18" s="40" t="n">
        <f aca="false">B18*$B$13</f>
        <v>50082.5</v>
      </c>
      <c r="D18" s="41" t="n">
        <f aca="false">C18/Supuestos!$B$2</f>
        <v>2861.85714285714</v>
      </c>
      <c r="E18" s="40" t="n">
        <f aca="false">B18*($B$7+$B$8)*(1+Supuestos!$B$6)*(1+Supuestos!$B$7)</f>
        <v>2242.5</v>
      </c>
      <c r="F18" s="42" t="n">
        <f aca="false">B18*$B$4</f>
        <v>400</v>
      </c>
    </row>
    <row r="19" customFormat="false" ht="15" hidden="false" customHeight="false" outlineLevel="0" collapsed="false">
      <c r="A19" s="6" t="s">
        <v>249</v>
      </c>
      <c r="B19" s="20" t="n">
        <v>8</v>
      </c>
      <c r="C19" s="40" t="n">
        <f aca="false">B19*$B$13</f>
        <v>80132</v>
      </c>
      <c r="D19" s="41" t="n">
        <f aca="false">C19/Supuestos!$B$2</f>
        <v>4578.97142857143</v>
      </c>
      <c r="E19" s="40" t="n">
        <f aca="false">B19*($B$7+$B$8)*(1+Supuestos!$B$6)*(1+Supuestos!$B$7)</f>
        <v>3588</v>
      </c>
      <c r="F19" s="42" t="n">
        <f aca="false">B19*$B$4</f>
        <v>640</v>
      </c>
    </row>
    <row r="21" customFormat="false" ht="15" hidden="false" customHeight="false" outlineLevel="0" collapsed="false">
      <c r="A21" s="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2026-10-09T14:13:42Z</dcterms:created>
  <dc:creator>openpyxl</dc:creator>
  <dc:description/>
  <dc:language>en-US</dc:language>
  <cp:lastModifiedBy/>
  <dcterms:modified xsi:type="dcterms:W3CDTF">2026-10-09T14:13:42Z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