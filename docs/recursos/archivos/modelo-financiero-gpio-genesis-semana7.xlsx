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Supuestos" sheetId="2" state="visible" r:id="rId4"/>
    <sheet name="Benchmark" sheetId="3" state="visible" r:id="rId5"/>
    <sheet name="Costo unitario" sheetId="4" state="visible" r:id="rId6"/>
    <sheet name="Precio" sheetId="5" state="visible" r:id="rId7"/>
    <sheet name="Flujo 12 meses" sheetId="6" state="visible" r:id="rId8"/>
    <sheet name="Equilibrio" sheetId="7" state="visible" r:id="rId9"/>
    <sheet name="Taller D-F-S" sheetId="8" state="visible" r:id="rId10"/>
    <sheet name="Ejercici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<sst xmlns="http://schemas.openxmlformats.org/spreadsheetml/2006/main" count="502" uniqueCount="344">
  <si>
    <t xml:space="preserve">Resumen — viabilidad económica de GPIO Génesis (semana 7)</t>
  </si>
  <si>
    <t xml:space="preserve">Checklist de salida de la semana 7. Todo se calcula en las otras hojas; cambien los supuestos (azul/amarillo) y esto se actualiza.</t>
  </si>
  <si>
    <t xml:space="preserve">Pregunta del checklist</t>
  </si>
  <si>
    <t xml:space="preserve">MVP (5 niveles)</t>
  </si>
  <si>
    <t xml:space="preserve">3 bloques (22 niveles)</t>
  </si>
  <si>
    <t xml:space="preserve">Costo unitario a 10 copias (todo incluido)</t>
  </si>
  <si>
    <t xml:space="preserve">Costo unitario a 100 copias (todo incluido)</t>
  </si>
  <si>
    <t xml:space="preserve">Costo variable por copia (IA + comisión)</t>
  </si>
  <si>
    <t xml:space="preserve">Modelo de ingresos</t>
  </si>
  <si>
    <t xml:space="preserve">Juego $249 (pago único en Steam) + Copiloto Pro $49/mes opcional</t>
  </si>
  <si>
    <t xml:space="preserve">Costo de IA al mes por usuario activo — plan base (5 consultas/día × 30 días)</t>
  </si>
  <si>
    <t xml:space="preserve">Costo de IA al mes por suscriptor Pro (10 consultas/día × 30 días)</t>
  </si>
  <si>
    <t xml:space="preserve">Equilibrio del año 1, contando horas (copias)</t>
  </si>
  <si>
    <t xml:space="preserve">Equilibrio del año 1, solo efectivo (copias)</t>
  </si>
  <si>
    <t xml:space="preserve">VPN a 12 meses (15% anual)</t>
  </si>
  <si>
    <t xml:space="preserve">MVP</t>
  </si>
  <si>
    <t xml:space="preserve">3 bloques</t>
  </si>
  <si>
    <t xml:space="preserve">VPN contando horas — escenario pesimista</t>
  </si>
  <si>
    <t xml:space="preserve">VPN contando horas — escenario base</t>
  </si>
  <si>
    <t xml:space="preserve">VPN contando horas — escenario optimista</t>
  </si>
  <si>
    <t xml:space="preserve">VPN solo efectivo — escenario pesimista</t>
  </si>
  <si>
    <t xml:space="preserve">VPN solo efectivo — escenario base</t>
  </si>
  <si>
    <t xml:space="preserve">VPN solo efectivo — escenario optimista</t>
  </si>
  <si>
    <t xml:space="preserve">Mes en que el acumulado (contando horas) se vuelve positivo — pesimista</t>
  </si>
  <si>
    <t xml:space="preserve">Mes en que el acumulado (contando horas) se vuelve positivo — base</t>
  </si>
  <si>
    <t xml:space="preserve">Mes en que el acumulado (contando horas) se vuelve positivo — optimista</t>
  </si>
  <si>
    <t xml:space="preserve">¿VPN positivo con el escenario base?</t>
  </si>
  <si>
    <t xml:space="preserve">Multiplicador del precio de la API usado</t>
  </si>
  <si>
    <t xml:space="preserve">Supuestos del modelo financiero — GPIO Génesis (semana 7, Bloque 4)</t>
  </si>
  <si>
    <t xml:space="preserve">Azul = dato editable · amarillo = supuesto de Claude por confirmar · verde = viene de los Excel del Bloque 3 (costos-gpio-genesis-semana7.xlsx y alcance-niveles-costos-gpio-genesis.xlsx).</t>
  </si>
  <si>
    <t xml:space="preserve">Concepto</t>
  </si>
  <si>
    <t xml:space="preserve">Valor</t>
  </si>
  <si>
    <t xml:space="preserve">Unidad</t>
  </si>
  <si>
    <t xml:space="preserve">Fuente / nota</t>
  </si>
  <si>
    <t xml:space="preserve">Tipo de cambio</t>
  </si>
  <si>
    <t xml:space="preserve">MXN/USD</t>
  </si>
  <si>
    <t xml:space="preserve">Del proyecto (semana 5).</t>
  </si>
  <si>
    <t xml:space="preserve">MXN/EUR</t>
  </si>
  <si>
    <t xml:space="preserve">ESTIMADO, solo para convertir el precio de Wokwi.</t>
  </si>
  <si>
    <t xml:space="preserve">Precio del juego (capa 1, pago único)</t>
  </si>
  <si>
    <t xml:space="preserve">MXN</t>
  </si>
  <si>
    <t xml:space="preserve">Del proyecto (semanas 4–5). Rango de disposición de pago 100–400 MXN.</t>
  </si>
  <si>
    <t xml:space="preserve">Comisión de Steam</t>
  </si>
  <si>
    <t xml:space="preserve">%</t>
  </si>
  <si>
    <t xml:space="preserve">30% hasta US$10 M de ventas (reparto escalonado de Valve, 2018).</t>
  </si>
  <si>
    <t xml:space="preserve">Precio de Copiloto Pro (capa 2, suscripción)</t>
  </si>
  <si>
    <t xml:space="preserve">MXN/mes</t>
  </si>
  <si>
    <t xml:space="preserve">Propuesta de Claude: debajo de Wokwi Hobby y de CodeCombat (hoja Benchmark).</t>
  </si>
  <si>
    <t xml:space="preserve">Comisión de la pasarela (Stripe México) — %</t>
  </si>
  <si>
    <t xml:space="preserve">stripe.com/mx/pricing, consultado 22-oct-2026. La suscripción se cobra en la página web, no en Steam.</t>
  </si>
  <si>
    <t xml:space="preserve">Comisión de la pasarela — fija</t>
  </si>
  <si>
    <t xml:space="preserve">MXN/cobro</t>
  </si>
  <si>
    <t xml:space="preserve">stripe.com/mx/pricing. Las comisiones no incluyen IVA.</t>
  </si>
  <si>
    <t xml:space="preserve">IVA sobre la comisión de la pasarela</t>
  </si>
  <si>
    <t xml:space="preserve">IVA general en México.</t>
  </si>
  <si>
    <t xml:space="preserve">Compradores que se suscriben a Pro</t>
  </si>
  <si>
    <t xml:space="preserve">SUPUESTO. En la semana 4, 3 de 4 entrevistados ven esto como 'comprar un juego': validar en el piloto.</t>
  </si>
  <si>
    <t xml:space="preserve">Bajas mensuales de suscriptores</t>
  </si>
  <si>
    <t xml:space="preserve">%/mes</t>
  </si>
  <si>
    <t xml:space="preserve">SUPUESTO alto: el jugador deja Pro cuando termina el juego o el semestre.</t>
  </si>
  <si>
    <t xml:space="preserve">Consultas a la nube por día — suscriptor Pro</t>
  </si>
  <si>
    <t xml:space="preserve">consultas/día</t>
  </si>
  <si>
    <t xml:space="preserve">SUPUESTO (el plan base tiene cuota de 10/h y pistas 1–2 locales).</t>
  </si>
  <si>
    <t xml:space="preserve">Días por mes (fórmula del curso)</t>
  </si>
  <si>
    <t xml:space="preserve">días</t>
  </si>
  <si>
    <t xml:space="preserve">Cota superior: supone uso diario.</t>
  </si>
  <si>
    <t xml:space="preserve">Costo por consulta, Claude Haiku 5.5</t>
  </si>
  <si>
    <t xml:space="preserve">USD</t>
  </si>
  <si>
    <t xml:space="preserve">Bloque 3: 3,000 tokens de entrada + 400 de salida (ESTIMADOS) a $0.10/$0.50 por millón.</t>
  </si>
  <si>
    <t xml:space="preserve">Multiplicador del precio de la API (sensibilidad)</t>
  </si>
  <si>
    <t xml:space="preserve">×</t>
  </si>
  <si>
    <t xml:space="preserve">1 = precio actual. Prueben 10 para ver el escenario 'la API sube 10×'.</t>
  </si>
  <si>
    <t xml:space="preserve">IA por jugador, todo el juego — MVP</t>
  </si>
  <si>
    <t xml:space="preserve">alcance-niveles-costos (Resumen, fila 22).</t>
  </si>
  <si>
    <t xml:space="preserve">IA por jugador, todo el juego — 3 bloques</t>
  </si>
  <si>
    <t xml:space="preserve">Desarrollo contando horas — MVP (5 niveles)</t>
  </si>
  <si>
    <t xml:space="preserve">Incluye indirectos 15% y contingencia 30% (alcance-niveles-costos, Desglose D23).</t>
  </si>
  <si>
    <t xml:space="preserve">Desarrollo contando horas — 3 bloques (22 niveles)</t>
  </si>
  <si>
    <t xml:space="preserve">Incluye indirectos 15% y contingencia 30% (Desglose E23).</t>
  </si>
  <si>
    <t xml:space="preserve">Pruebas de IA durante el desarrollo — MVP (dinero real)</t>
  </si>
  <si>
    <t xml:space="preserve">Desglose D22.</t>
  </si>
  <si>
    <t xml:space="preserve">Pruebas de IA durante el desarrollo — 3 bloques (dinero real)</t>
  </si>
  <si>
    <t xml:space="preserve">Desglose E22.</t>
  </si>
  <si>
    <t xml:space="preserve">Cuota de Steam Direct (pago único)</t>
  </si>
  <si>
    <t xml:space="preserve">Verificado 9-oct-2026.</t>
  </si>
  <si>
    <t xml:space="preserve">Dominio (anual)</t>
  </si>
  <si>
    <t xml:space="preserve">ESTIMADO.</t>
  </si>
  <si>
    <t xml:space="preserve">Firma de código de Windows OV (anual)</t>
  </si>
  <si>
    <t xml:space="preserve">ESTIMADO (semana 5).</t>
  </si>
  <si>
    <t xml:space="preserve">Supabase Pro (mensual)</t>
  </si>
  <si>
    <t xml:space="preserve">USD/mes</t>
  </si>
  <si>
    <t xml:space="preserve">Precio 'desde', verificado 9-oct-2026.</t>
  </si>
  <si>
    <t xml:space="preserve">Tasa de descuento anual (curso)</t>
  </si>
  <si>
    <t xml:space="preserve">La que pide el prompt del curso.</t>
  </si>
  <si>
    <t xml:space="preserve">Margen del método cost-plus</t>
  </si>
  <si>
    <t xml:space="preserve">El que pide el prompt del curso.</t>
  </si>
  <si>
    <t xml:space="preserve">SOM anual (semana 4: 2,200 personas en años 1–2)</t>
  </si>
  <si>
    <t xml:space="preserve">copias/año</t>
  </si>
  <si>
    <t xml:space="preserve">Techo de lo alcanzable.</t>
  </si>
  <si>
    <t xml:space="preserve">Copias en el año 1 — escenario pesimista</t>
  </si>
  <si>
    <t xml:space="preserve">copias</t>
  </si>
  <si>
    <t xml:space="preserve">SUPUESTO.</t>
  </si>
  <si>
    <t xml:space="preserve">Copias en el año 1 — escenario base</t>
  </si>
  <si>
    <t xml:space="preserve">SUPUESTO ≈ 36% del SOM.</t>
  </si>
  <si>
    <t xml:space="preserve">Copias en el año 1 — escenario optimista</t>
  </si>
  <si>
    <t xml:space="preserve">Igual al SOM completo.</t>
  </si>
  <si>
    <t xml:space="preserve">Calculados</t>
  </si>
  <si>
    <t xml:space="preserve">Tasa mensual equivalente</t>
  </si>
  <si>
    <t xml:space="preserve">Ingreso neto por copia (precio − comisión)</t>
  </si>
  <si>
    <t xml:space="preserve">Comisión de pasarela por cobro de Pro, con IVA</t>
  </si>
  <si>
    <t xml:space="preserve">IA por suscriptor Pro al mes (fórmula del curso)</t>
  </si>
  <si>
    <t xml:space="preserve">Lanzamiento año 1 sin Supabase (Steam + dominio + firma)</t>
  </si>
  <si>
    <t xml:space="preserve">Supabase Pro al mes</t>
  </si>
  <si>
    <t xml:space="preserve">Vida media de un suscriptor (1 / bajas)</t>
  </si>
  <si>
    <t xml:space="preserve">Reparto de las ventas del año 1 por mes (suma 100%)</t>
  </si>
  <si>
    <t xml:space="preserve">SUPUESTO: pico de lanzamiento, cola, y repunte en el mes 6 (inicio de semestre).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</si>
  <si>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</si>
  <si>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</si>
  <si>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</si>
  <si>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</si>
  <si>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</si>
  <si>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</si>
  <si>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</si>
  <si>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</si>
  <si>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</si>
  <si>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</si>
  <si>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</si>
  <si>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</si>
  <si>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Suma</t>
  </si>
  <si>
    <t xml:space="preserve">Bloque 2 — Benchmarking de ofertas parecidas y modelos de ingreso</t>
  </si>
  <si>
    <t xml:space="preserve">Oferta</t>
  </si>
  <si>
    <t xml:space="preserve">Qué es</t>
  </si>
  <si>
    <t xml:space="preserve">Modelo de ingreso</t>
  </si>
  <si>
    <t xml:space="preserve">Precio</t>
  </si>
  <si>
    <t xml:space="preserve">Moneda</t>
  </si>
  <si>
    <t xml:space="preserve">Fricción para nuestro segmento</t>
  </si>
  <si>
    <t xml:space="preserve">Fuente (consultada 22-oct-2026)</t>
  </si>
  <si>
    <t xml:space="preserve">SHENZHEN I/O (Zachtronics)</t>
  </si>
  <si>
    <t xml:space="preserve">Juego de puzles: circuitos con microcontroladores y ensamblador ficticio</t>
  </si>
  <si>
    <t xml:space="preserve">Pago único</t>
  </si>
  <si>
    <t xml:space="preserve">Lenguaje inventado: no se transfiere a un microcontrolador real; en inglés</t>
  </si>
  <si>
    <t xml:space="preserve">zachtronics.itch.io/shenzhen-io</t>
  </si>
  <si>
    <t xml:space="preserve">Turing Complete (LevelHead)</t>
  </si>
  <si>
    <t xml:space="preserve">Juego: construir una computadora desde compuertas lógicas</t>
  </si>
  <si>
    <t xml:space="preserve">Enseña arquitectura, no programación de periféricos; en inglés</t>
  </si>
  <si>
    <t xml:space="preserve">steambase.io (precio de Steam)</t>
  </si>
  <si>
    <t xml:space="preserve">Wokwi Hobby</t>
  </si>
  <si>
    <t xml:space="preserve">Simulador web de Arduino / ESP32 / Raspberry Pi Pico</t>
  </si>
  <si>
    <t xml:space="preserve">Freemium + suscripción</t>
  </si>
  <si>
    <t xml:space="preserve">EUR/mes</t>
  </si>
  <si>
    <t xml:space="preserve">Es una herramienta, no un juego: no guía ni motiva; el plan gratis ya simula</t>
  </si>
  <si>
    <t xml:space="preserve">wokwi.com/pricing (facturación anual)</t>
  </si>
  <si>
    <t xml:space="preserve">CodeCombat (semana 4)</t>
  </si>
  <si>
    <t xml:space="preserve">RPG para aprender a programar (incluye C++)</t>
  </si>
  <si>
    <t xml:space="preserve">Abstracto, sin simulación de hardware; 'otra plataforma de cursos'</t>
  </si>
  <si>
    <t xml:space="preserve">Semana 4 (mapa competitivo)</t>
  </si>
  <si>
    <t xml:space="preserve">TIS-100 (semana 4)</t>
  </si>
  <si>
    <t xml:space="preserve">Puzles de ensamblador en una arquitectura ficticia</t>
  </si>
  <si>
    <t xml:space="preserve">Bajo nivel no transferible a C/C++</t>
  </si>
  <si>
    <t xml:space="preserve">Lectura: los juegos de programación se venden por pago único entre ~$120 y ~$350 MXN; las herramientas y plataformas cobran suscripción de ~$115–175 MXN/mes.</t>
  </si>
  <si>
    <t xml:space="preserve">Techo del juego (value-based) = el juego más caro de la lista; techo de Pro = la suscripción más barata de la lista.</t>
  </si>
  <si>
    <t xml:space="preserve">Los 5 modelos de ingreso de IDEO aplicados a GPIO Génesis</t>
  </si>
  <si>
    <t xml:space="preserve">Modelo</t>
  </si>
  <si>
    <t xml:space="preserve">Cómo sería en GPIO Génesis</t>
  </si>
  <si>
    <t xml:space="preserve">Reto de diseño (IDEO)</t>
  </si>
  <si>
    <t xml:space="preserve">¿Lo usamos?</t>
  </si>
  <si>
    <t xml:space="preserve">Por qué</t>
  </si>
  <si>
    <t xml:space="preserve">Pago por evento</t>
  </si>
  <si>
    <t xml:space="preserve">Comprar el juego una vez en Steam ($249)</t>
  </si>
  <si>
    <t xml:space="preserve">Que el valor se sienta completo en una sola compra</t>
  </si>
  <si>
    <t xml:space="preserve">Sí — capa 1</t>
  </si>
  <si>
    <t xml:space="preserve">Es lo que dijeron los entrevistados (semana 4) y lo que hacen Shenzhen I/O y Turing Complete.</t>
  </si>
  <si>
    <t xml:space="preserve">Suscripción</t>
  </si>
  <si>
    <t xml:space="preserve">Copiloto Pro: más consultas en la nube, revisión de código y reporte para portafolio</t>
  </si>
  <si>
    <t xml:space="preserve">Dar valor nuevo cada mes para que no se cancele</t>
  </si>
  <si>
    <t xml:space="preserve">Sí — capa 2 (opcional)</t>
  </si>
  <si>
    <t xml:space="preserve">Es la versión digital de 'hardware + suscripción' del curso. El juego funciona completo sin ella.</t>
  </si>
  <si>
    <t xml:space="preserve">Publicidad</t>
  </si>
  <si>
    <t xml:space="preserve">Anuncios dentro del juego o patrocinios de fabricantes de placas</t>
  </si>
  <si>
    <t xml:space="preserve">Que el anuncio no rompa la experiencia</t>
  </si>
  <si>
    <t xml:space="preserve">No</t>
  </si>
  <si>
    <t xml:space="preserve">Arruina un juego de pago; un patrocinio de fabricante podría servir más adelante.</t>
  </si>
  <si>
    <t xml:space="preserve">Freemium</t>
  </si>
  <si>
    <t xml:space="preserve">Nivel 1 gratis como demo</t>
  </si>
  <si>
    <t xml:space="preserve">Que lo gratis enganche sin regalar todo</t>
  </si>
  <si>
    <t xml:space="preserve">Solo como demo</t>
  </si>
  <si>
    <t xml:space="preserve">La demo de Steam sirve de marketing, no como fuente de ingreso.</t>
  </si>
  <si>
    <t xml:space="preserve">Pago por uso</t>
  </si>
  <si>
    <t xml:space="preserve">Cobrar por consulta al copiloto</t>
  </si>
  <si>
    <t xml:space="preserve">Que el usuario entienda cuánto gasta</t>
  </si>
  <si>
    <t xml:space="preserve">Cobrar cada pregunta castiga justo al que más necesita ayuda.</t>
  </si>
  <si>
    <t xml:space="preserve">Paso 1 — Costo unitario real (por copia)</t>
  </si>
  <si>
    <t xml:space="preserve">En un producto digital no hay BOM ni manufactura por pieza: la 'manufactura' es el desarrollo, que se reparte entre las copias. El desarrollo ya trae indirectos (15%) y contingencia (30%), por eso no se vuelven a sumar.</t>
  </si>
  <si>
    <t xml:space="preserve">Concepto (MXN por copia)</t>
  </si>
  <si>
    <t xml:space="preserve">MVP · 10 copias</t>
  </si>
  <si>
    <t xml:space="preserve">MVP · 100 copias</t>
  </si>
  <si>
    <t xml:space="preserve">3 bloques · 10 copias</t>
  </si>
  <si>
    <t xml:space="preserve">3 bloques · 100 copias</t>
  </si>
  <si>
    <t xml:space="preserve">Unidades</t>
  </si>
  <si>
    <t xml:space="preserve">BOM / hardware</t>
  </si>
  <si>
    <t xml:space="preserve">Desarrollo repartido ('manufactura')</t>
  </si>
  <si>
    <t xml:space="preserve">Lanzamiento repartido (Steam, dominio, firma)</t>
  </si>
  <si>
    <t xml:space="preserve">Nube repartida (Supabase Pro 12 meses)</t>
  </si>
  <si>
    <t xml:space="preserve">IA del copiloto por jugador</t>
  </si>
  <si>
    <t xml:space="preserve">Comisión de Steam (30% del precio)</t>
  </si>
  <si>
    <t xml:space="preserve">COSTO UNITARIO TOTAL</t>
  </si>
  <si>
    <t xml:space="preserve">  de eso, variable (IA + comisión)</t>
  </si>
  <si>
    <t xml:space="preserve">  de eso, dinero real (sin horas de desarrollo)</t>
  </si>
  <si>
    <t xml:space="preserve">Precio actual</t>
  </si>
  <si>
    <t xml:space="preserve">Margen por copia</t>
  </si>
  <si>
    <t xml:space="preserve">Lectura: a 10 copias el desarrollo pesa miles de pesos por copia; el costo de verdad variable (IA + comisión) es de ~$76–81 por copia. El precio no se puede fijar con el costo unitario a 10 copias: hay que mirar el volumen (Paso 3).</t>
  </si>
  <si>
    <t xml:space="preserve">Paso 2 — Precio de venta: piso (cost-plus) y techo (value-based)</t>
  </si>
  <si>
    <t xml:space="preserve">Capa 1 — juego (MXN)</t>
  </si>
  <si>
    <t xml:space="preserve">Nota</t>
  </si>
  <si>
    <t xml:space="preserve">Copias para repartir el costo fijo (escenario base)</t>
  </si>
  <si>
    <t xml:space="preserve">Costo por copia sin comisión (fijo/copias + IA)</t>
  </si>
  <si>
    <t xml:space="preserve">Lo que debemos recibir con margen de 40%</t>
  </si>
  <si>
    <t xml:space="preserve">PISO cost-plus: precio en tienda (ya con el 30% de Steam)</t>
  </si>
  <si>
    <t xml:space="preserve">precio = costo × 1.4 ÷ (1 − 0.30)</t>
  </si>
  <si>
    <t xml:space="preserve">TECHO value-based (Turing Complete, el más caro del benchmark)</t>
  </si>
  <si>
    <t xml:space="preserve">La entrevista de la semana 4 dio 100–400 MXN; Turing Complete ≈ $350.</t>
  </si>
  <si>
    <t xml:space="preserve">Precio recomendado</t>
  </si>
  <si>
    <t xml:space="preserve">Se queda en $249: entra en 199–299 (semana 4) y queda entre Shenzhen I/O y Turing Complete.</t>
  </si>
  <si>
    <t xml:space="preserve">¿El recomendado cubre el piso?</t>
  </si>
  <si>
    <t xml:space="preserve">Capa 2 — Copiloto Pro (MXN/mes)</t>
  </si>
  <si>
    <t xml:space="preserve">Costo por suscriptor al mes (IA + pasarela con IVA)</t>
  </si>
  <si>
    <t xml:space="preserve">PISO cost-plus (×1.4)</t>
  </si>
  <si>
    <t xml:space="preserve">La IA cuesta tan poco con Haiku 5.5 que el piso queda en pocos pesos: el piso no decide el precio.</t>
  </si>
  <si>
    <t xml:space="preserve">TECHO value-based (Wokwi Hobby, la suscripción más barata)</t>
  </si>
  <si>
    <t xml:space="preserve">Muy por debajo del techo: el reto no es el precio sino que alguien quiera pagar cada mes (IDEO: dar valor nuevo cada mes).</t>
  </si>
  <si>
    <t xml:space="preserve">Margen por suscriptor al mes</t>
  </si>
  <si>
    <t xml:space="preserve">Margen esperado de Pro por cada copia vendida (conversión × vida media × margen)</t>
  </si>
  <si>
    <t xml:space="preserve">Paso 4 — Flujo de caja a 12 meses (MXN) por alcance y escenario de ventas</t>
  </si>
  <si>
    <t xml:space="preserve">Mes 0 = inversión: desarrollo contando horas + cuota de Steam, dominio y firma. 'Efectivo' = lo mismo pero sin las horas (el dinero que de verdad sale del bolsillo). VPN con la tasa anual del curso convertida a mensual.</t>
  </si>
  <si>
    <t xml:space="preserve">Mes</t>
  </si>
  <si>
    <t xml:space="preserve">Copias vendidas</t>
  </si>
  <si>
    <t xml:space="preserve">Ventas del juego</t>
  </si>
  <si>
    <t xml:space="preserve">Comisión Steam</t>
  </si>
  <si>
    <t xml:space="preserve">IA de jugadores</t>
  </si>
  <si>
    <t xml:space="preserve">Suscriptores Pro (fin de mes)</t>
  </si>
  <si>
    <t xml:space="preserve">Ventas de Pro</t>
  </si>
  <si>
    <t xml:space="preserve">Comisión pasarela</t>
  </si>
  <si>
    <t xml:space="preserve">IA de Pro</t>
  </si>
  <si>
    <t xml:space="preserve">Supabase Pro</t>
  </si>
  <si>
    <t xml:space="preserve">Inversión</t>
  </si>
  <si>
    <t xml:space="preserve">FLUJO NETO</t>
  </si>
  <si>
    <t xml:space="preserve">Acumulado</t>
  </si>
  <si>
    <t xml:space="preserve">Flujo solo efectivo</t>
  </si>
  <si>
    <t xml:space="preserve">Acumulado efectivo</t>
  </si>
  <si>
    <t xml:space="preserve">VPN 12 meses (contando horas)</t>
  </si>
  <si>
    <t xml:space="preserve">VPN solo efectivo</t>
  </si>
  <si>
    <t xml:space="preserve">TIR mensual (contando horas)</t>
  </si>
  <si>
    <t xml:space="preserve">Mes en que el acumulado se vuelve positivo</t>
  </si>
  <si>
    <t xml:space="preserve">Mes positivo (efectivo)</t>
  </si>
  <si>
    <t xml:space="preserve">Ingreso total año 1</t>
  </si>
  <si>
    <t xml:space="preserve">Paso 3 — Punto de equilibrio del año 1</t>
  </si>
  <si>
    <t xml:space="preserve">Equilibrio (unidades) = costos fijos ÷ (precio − costo variable). Aquí cada copia aporta su margen del juego más el margen esperado de Pro.</t>
  </si>
  <si>
    <t xml:space="preserve">Concepto (MXN)</t>
  </si>
  <si>
    <t xml:space="preserve">Costos fijos del año 1, contando horas (desarrollo + lanzamiento + Supabase 12 m)</t>
  </si>
  <si>
    <t xml:space="preserve">Costos fijos del año 1, solo efectivo</t>
  </si>
  <si>
    <t xml:space="preserve">Precio del juego</t>
  </si>
  <si>
    <t xml:space="preserve">Costo variable por copia (comisión + IA)</t>
  </si>
  <si>
    <t xml:space="preserve">Margen de contribución del juego por copia</t>
  </si>
  <si>
    <t xml:space="preserve">Margen esperado de Pro por copia</t>
  </si>
  <si>
    <t xml:space="preserve">Margen de contribución total por copia</t>
  </si>
  <si>
    <t xml:space="preserve">EQUILIBRIO contando horas (copias)</t>
  </si>
  <si>
    <t xml:space="preserve">Incluye las horas del equipo como costo (a $80/h).</t>
  </si>
  <si>
    <t xml:space="preserve">EQUILIBRIO solo efectivo (copias)</t>
  </si>
  <si>
    <t xml:space="preserve">El dinero que de verdad hay que recuperar.</t>
  </si>
  <si>
    <t xml:space="preserve">SOM anual (semana 4)</t>
  </si>
  <si>
    <t xml:space="preserve">Equilibrio como % del SOM</t>
  </si>
  <si>
    <t xml:space="preserve">Copias del escenario base</t>
  </si>
  <si>
    <t xml:space="preserve">¿Alcanzable con el escenario base?</t>
  </si>
  <si>
    <t xml:space="preserve">Bloque 5 — Las 10 partidas más caras y su clasificación D / F / S</t>
  </si>
  <si>
    <t xml:space="preserve">No hay BOM de hardware: las 'piezas' de un juego son sus partes de desarrollo y lanzamiento. Montos en MXN con indirectos y contingencia (alcance-niveles-costos, Desglose). D = crea el valor · F = flexible · S = establecido.</t>
  </si>
  <si>
    <t xml:space="preserve">#</t>
  </si>
  <si>
    <t xml:space="preserve">Partida</t>
  </si>
  <si>
    <t xml:space="preserve">D/F/S</t>
  </si>
  <si>
    <t xml:space="preserve">Por qué / qué hacer si el modelo no cierra</t>
  </si>
  <si>
    <t xml:space="preserve">Simulación de periféricos (GPIO, timers, IRQ, UART, PWM, ADC, I2C)</t>
  </si>
  <si>
    <t xml:space="preserve">D</t>
  </si>
  <si>
    <t xml:space="preserve">Sin esto no hay 'programar como en la placa real'. Se recorta alcance (menos periféricos), no calidad.</t>
  </si>
  <si>
    <t xml:space="preserve">Motor del juego (interfaz, C++ → WASM, marco de niveles, menú)</t>
  </si>
  <si>
    <t xml:space="preserve">Es el producto. Ya es lo mínimo para que el código del jugador corra.</t>
  </si>
  <si>
    <t xml:space="preserve">Niveles del Bloque 2 · Tiempo y serie</t>
  </si>
  <si>
    <t xml:space="preserve">F</t>
  </si>
  <si>
    <t xml:space="preserve">Se pueden lanzar después como actualización o DLC.</t>
  </si>
  <si>
    <t xml:space="preserve">Niveles del Bloque 1 · GPIO</t>
  </si>
  <si>
    <t xml:space="preserve">Los 5 del MVP son el núcleo; los otros 4 se pueden posponer.</t>
  </si>
  <si>
    <t xml:space="preserve">Niveles del Bloque 3 · Analógico y buses</t>
  </si>
  <si>
    <t xml:space="preserve">Igual que el Bloque 2: posponer.</t>
  </si>
  <si>
    <t xml:space="preserve">Arte de las máquinas nuevas de los niveles</t>
  </si>
  <si>
    <t xml:space="preserve">Reutilizar sprites con cambios de color; tope de 30 h de arte (semana 6).</t>
  </si>
  <si>
    <t xml:space="preserve">Arte y animación base (pixel art)</t>
  </si>
  <si>
    <t xml:space="preserve">Es lo que hace que 'se sienta juego', pero acepta assets CC0.</t>
  </si>
  <si>
    <t xml:space="preserve">Supabase Pro (12 meses)</t>
  </si>
  <si>
    <t xml:space="preserve">Quedarse en el plan gratuito mientras no se pase de sus límites.</t>
  </si>
  <si>
    <t xml:space="preserve">Sonido (base + por nivel)</t>
  </si>
  <si>
    <t xml:space="preserve">Efectos CC0; música al final.</t>
  </si>
  <si>
    <t xml:space="preserve">Copiloto IA (desarrollo)</t>
  </si>
  <si>
    <t xml:space="preserve">Es el diferenciador frente a Shenzhen I/O y Turing Complete.</t>
  </si>
  <si>
    <t xml:space="preserve">+</t>
  </si>
  <si>
    <t xml:space="preserve">Comisión de Steam (30% de cada venta)</t>
  </si>
  <si>
    <t xml:space="preserve">S</t>
  </si>
  <si>
    <t xml:space="preserve">No la controlamos; la alternativa es vender también en itch.io o la página propia.</t>
  </si>
  <si>
    <t xml:space="preserve">La comisión de Steam (fila '+') se calcula con el escenario base y no entra en el top 10 de desarrollo.</t>
  </si>
  <si>
    <t xml:space="preserve">Regla del curso: si no cierra, recortar primero los F, aceptar los S; si hay que tocar un D, se replantea la propuesta de valor.</t>
  </si>
  <si>
    <t xml:space="preserve">Conteo</t>
  </si>
  <si>
    <t xml:space="preserve">Bloque 4 — Ejercicios de matemáticas financieras (resueltos con fórmulas visibles)</t>
  </si>
  <si>
    <t xml:space="preserve">Ejercicio 1 — Valor futuro: US$45,000 al 7.5% anual capitalizable trimestralmente por 5 años 6 meses</t>
  </si>
  <si>
    <t xml:space="preserve">Periodos trimestrales (5.5 × 4)</t>
  </si>
  <si>
    <t xml:space="preserve">VF = 45,000 × (1 + 0.075/4)^22</t>
  </si>
  <si>
    <t xml:space="preserve">Comprobación con FV()</t>
  </si>
  <si>
    <t xml:space="preserve">Ejercicio 2 — Valor presente: $125,000 MXN en 48 meses al 12% anual compuesto mensual</t>
  </si>
  <si>
    <t xml:space="preserve">VP = 125,000 / (1.01)^48</t>
  </si>
  <si>
    <t xml:space="preserve">Comprobación con PV()</t>
  </si>
  <si>
    <t xml:space="preserve">Ejercicio 3 — VP de flujos irregulares al 9%: año 1 $10,000; año 3 $15,000; año 5 $8,000</t>
  </si>
  <si>
    <t xml:space="preserve">VP</t>
  </si>
  <si>
    <t xml:space="preserve">Ejercicio 4 — Inversión US$250,000; US$60,000 anuales por 6 años; tasa 11%</t>
  </si>
  <si>
    <t xml:space="preserve">VP de la anualidad = 60,000 × [1 − 1.11^−6] / 0.11</t>
  </si>
  <si>
    <t xml:space="preserve">VPN = VP − 250,000</t>
  </si>
  <si>
    <t xml:space="preserve">TIR</t>
  </si>
  <si>
    <t xml:space="preserve">Decisión: VPN &gt; 0 → se acepta, aunque por poco (TIR 11.5% apenas arriba del 11%).</t>
  </si>
  <si>
    <t xml:space="preserve">Ejercicio 5 — Inversión US$50,000; flujos 7,500 / 12,000 / 20,000 / 25,000; tasa 4%</t>
  </si>
  <si>
    <t xml:space="preserve">VPN</t>
  </si>
  <si>
    <t xml:space="preserve">Decisión: VPN &gt; 0 → se acepta.</t>
  </si>
  <si>
    <t xml:space="preserve">Ejercicio 6 — Inversión US$1,000,000; flujos 300K / 350K / 375K / 300K + 150K de salvamento; tasa 10%</t>
  </si>
  <si>
    <t xml:space="preserve">Decisión: VPN &gt; 0 → se acepta. Sin el salvamento el VPN bajaría en 150,000/1.1^4 ≈ $102,452.</t>
  </si>
  <si>
    <t xml:space="preserve">Ejercicio 7 — Proyectos X e Y, inversión $50,000, tasa 8%</t>
  </si>
  <si>
    <t xml:space="preserve">VPN X (25,000 × 3 años)</t>
  </si>
  <si>
    <t xml:space="preserve">VPN Y (10,000 / 20,000 / 45,000)</t>
  </si>
  <si>
    <t xml:space="preserve">TIR X</t>
  </si>
  <si>
    <t xml:space="preserve">TIR Y</t>
  </si>
  <si>
    <t xml:space="preserve">Decisión: los dos son viables; se elige X (mayor VPN y recupera el dinero antes). Y recibe casi todo al final.</t>
  </si>
  <si>
    <t xml:space="preserve">Ejercicio 8 — Sensibilidad del VPN del proyecto X</t>
  </si>
  <si>
    <t xml:space="preserve">Tasa</t>
  </si>
  <si>
    <t xml:space="preserve">Decisión</t>
  </si>
  <si>
    <t xml:space="preserve">El VPN cruza cero cerca del 23.4% (la TIR de X).</t>
  </si>
  <si>
    <t xml:space="preserve">Ejercicio 9 — TIR por interpolación: inversión US$500,000; 180K / 200K / 190K / 170K; costo de capital 14% (resuelto en clase)</t>
  </si>
  <si>
    <t xml:space="preserve">VPN al 14%</t>
  </si>
  <si>
    <t xml:space="preserve">VPN al 22%</t>
  </si>
  <si>
    <t xml:space="preserve">TIR interpolada = 14% + 8% × VPN14 / (VPN14 − VPN22)</t>
  </si>
  <si>
    <t xml:space="preserve">TIR exacta con IRR()</t>
  </si>
  <si>
    <t xml:space="preserve">El curso da +40,732 y −36,560; recalculado da ≈ +40,686 y ≈ −36,714 (redondeo). La interpolación lineal sobrestima un poco la TIR (18.2% vs 17.9%) porque el VPN es curvo. La conclusión no cambia: TIR &gt; 14% → viable.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</si>
</sst>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[RED]&quot;-$&quot;#,##0.00"/>
    <numFmt numFmtId="166" formatCode="#,##0"/>
    <numFmt numFmtId="167" formatCode="\$#,##0;[RED]&quot;-$&quot;#,##0"/>
    <numFmt numFmtId="168" formatCode="0.0%"/>
    <numFmt numFmtId="169" formatCode="0.0"/>
    <numFmt numFmtId="170" formatCode="#,##0.0"/>
    <numFmt numFmtId="171" formatCode="0"/>
    <numFmt numFmtId="172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1F4FB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4495E"/>
        <bgColor rgb="FF3333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1F4FBF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449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f aca="false">'Costo unitario'!B12</f>
        <v>6030.042</v>
      </c>
      <c r="C5" s="3" t="n">
        <f aca="false">'Costo unitario'!D12</f>
        <v>12606.342</v>
      </c>
    </row>
    <row r="6" customFormat="false" ht="15" hidden="false" customHeight="false" outlineLevel="0" collapsed="false">
      <c r="A6" s="0" t="s">
        <v>6</v>
      </c>
      <c r="B6" s="3" t="n">
        <f aca="false">'Costo unitario'!C12</f>
        <v>671.0082</v>
      </c>
      <c r="C6" s="3" t="n">
        <f aca="false">'Costo unitario'!E12</f>
        <v>1333.5162</v>
      </c>
    </row>
    <row r="7" customFormat="false" ht="15" hidden="false" customHeight="false" outlineLevel="0" collapsed="false">
      <c r="A7" s="0" t="s">
        <v>7</v>
      </c>
      <c r="B7" s="3" t="n">
        <f aca="false">'Costo unitario'!B13</f>
        <v>75.56</v>
      </c>
      <c r="C7" s="3" t="n">
        <f aca="false">'Costo unitario'!D13</f>
        <v>80.98</v>
      </c>
    </row>
    <row r="8" customFormat="false" ht="15" hidden="false" customHeight="false" outlineLevel="0" collapsed="false">
      <c r="A8" s="0" t="s">
        <v>8</v>
      </c>
      <c r="B8" s="0" t="s">
        <v>9</v>
      </c>
    </row>
    <row r="9" customFormat="false" ht="15" hidden="false" customHeight="false" outlineLevel="0" collapsed="false">
      <c r="A9" s="0" t="s">
        <v>10</v>
      </c>
      <c r="B9" s="3" t="n">
        <f aca="false">5*Supuestos!$B$16*Supuestos!$B$17*Supuestos!$B$18*Supuestos!$B$5</f>
        <v>1.3125</v>
      </c>
      <c r="C9" s="3"/>
    </row>
    <row r="10" customFormat="false" ht="15" hidden="false" customHeight="false" outlineLevel="0" collapsed="false">
      <c r="A10" s="0" t="s">
        <v>11</v>
      </c>
      <c r="B10" s="3" t="n">
        <f aca="false">Supuestos!$B$40</f>
        <v>2.625</v>
      </c>
      <c r="C10" s="3"/>
    </row>
    <row r="11" customFormat="false" ht="15" hidden="false" customHeight="false" outlineLevel="0" collapsed="false">
      <c r="A11" s="0" t="s">
        <v>12</v>
      </c>
      <c r="B11" s="4" t="n">
        <f aca="false">Equilibrio!B12</f>
        <v>322</v>
      </c>
      <c r="C11" s="4" t="n">
        <f aca="false">Equilibrio!C12</f>
        <v>697</v>
      </c>
    </row>
    <row r="12" customFormat="false" ht="15" hidden="false" customHeight="false" outlineLevel="0" collapsed="false">
      <c r="A12" s="0" t="s">
        <v>13</v>
      </c>
      <c r="B12" s="4" t="n">
        <f aca="false">Equilibrio!B13</f>
        <v>49</v>
      </c>
      <c r="C12" s="4" t="n">
        <f aca="false">Equilibrio!C13</f>
        <v>50</v>
      </c>
    </row>
    <row r="14" customFormat="false" ht="15" hidden="false" customHeight="false" outlineLevel="0" collapsed="false">
      <c r="A14" s="2" t="s">
        <v>14</v>
      </c>
      <c r="B14" s="2" t="s">
        <v>15</v>
      </c>
      <c r="C14" s="2" t="s">
        <v>16</v>
      </c>
    </row>
    <row r="15" customFormat="false" ht="15" hidden="false" customHeight="false" outlineLevel="0" collapsed="false">
      <c r="A15" s="0" t="s">
        <v>17</v>
      </c>
      <c r="B15" s="5" t="n">
        <f aca="false">'Flujo 12 meses'!C19</f>
        <v>-33289.1012056941</v>
      </c>
      <c r="C15" s="5" t="n">
        <f aca="false">'Flujo 12 meses'!C76</f>
        <v>-99737.576081314</v>
      </c>
    </row>
    <row r="16" customFormat="false" ht="15" hidden="false" customHeight="false" outlineLevel="0" collapsed="false">
      <c r="A16" s="0" t="s">
        <v>18</v>
      </c>
      <c r="B16" s="5" t="n">
        <f aca="false">'Flujo 12 meses'!C38</f>
        <v>9829.42765519128</v>
      </c>
      <c r="C16" s="5" t="n">
        <f aca="false">'Flujo 12 meses'!C95</f>
        <v>-57892.1720131286</v>
      </c>
    </row>
    <row r="17" customFormat="false" ht="15" hidden="false" customHeight="false" outlineLevel="0" collapsed="false">
      <c r="A17" s="0" t="s">
        <v>19</v>
      </c>
      <c r="B17" s="5" t="n">
        <f aca="false">'Flujo 12 meses'!C57</f>
        <v>130561.30846567</v>
      </c>
      <c r="C17" s="5" t="n">
        <f aca="false">'Flujo 12 meses'!C114</f>
        <v>59274.9593777907</v>
      </c>
    </row>
    <row r="18" customFormat="false" ht="15" hidden="false" customHeight="false" outlineLevel="0" collapsed="false">
      <c r="A18" s="0" t="s">
        <v>20</v>
      </c>
      <c r="B18" s="5" t="n">
        <f aca="false">'Flujo 12 meses'!G19</f>
        <v>17301.6987943059</v>
      </c>
      <c r="C18" s="5" t="n">
        <f aca="false">'Flujo 12 meses'!G76</f>
        <v>16513.623918686</v>
      </c>
    </row>
    <row r="19" customFormat="false" ht="15" hidden="false" customHeight="false" outlineLevel="0" collapsed="false">
      <c r="A19" s="0" t="s">
        <v>21</v>
      </c>
      <c r="B19" s="5" t="n">
        <f aca="false">'Flujo 12 meses'!G38</f>
        <v>60420.2276551913</v>
      </c>
      <c r="C19" s="5" t="n">
        <f aca="false">'Flujo 12 meses'!G95</f>
        <v>58359.0279868714</v>
      </c>
    </row>
    <row r="20" customFormat="false" ht="15" hidden="false" customHeight="false" outlineLevel="0" collapsed="false">
      <c r="A20" s="0" t="s">
        <v>22</v>
      </c>
      <c r="B20" s="5" t="n">
        <f aca="false">'Flujo 12 meses'!G57</f>
        <v>181152.10846567</v>
      </c>
      <c r="C20" s="5" t="n">
        <f aca="false">'Flujo 12 meses'!G114</f>
        <v>175526.159377791</v>
      </c>
    </row>
    <row r="21" customFormat="false" ht="15" hidden="false" customHeight="false" outlineLevel="0" collapsed="false">
      <c r="A21" s="0" t="s">
        <v>23</v>
      </c>
      <c r="B21" s="0" t="str">
        <f aca="false">'Flujo 12 meses'!C20</f>
        <v>no en 12 meses</v>
      </c>
      <c r="C21" s="0" t="str">
        <f aca="false">'Flujo 12 meses'!C77</f>
        <v>no en 12 meses</v>
      </c>
    </row>
    <row r="22" customFormat="false" ht="15" hidden="false" customHeight="false" outlineLevel="0" collapsed="false">
      <c r="A22" s="0" t="s">
        <v>24</v>
      </c>
      <c r="B22" s="0" t="n">
        <f aca="false">'Flujo 12 meses'!C39</f>
        <v>9</v>
      </c>
      <c r="C22" s="0" t="str">
        <f aca="false">'Flujo 12 meses'!C96</f>
        <v>no en 12 meses</v>
      </c>
    </row>
    <row r="23" customFormat="false" ht="15" hidden="false" customHeight="false" outlineLevel="0" collapsed="false">
      <c r="A23" s="0" t="s">
        <v>25</v>
      </c>
      <c r="B23" s="0" t="n">
        <f aca="false">'Flujo 12 meses'!C58</f>
        <v>2</v>
      </c>
      <c r="C23" s="0" t="n">
        <f aca="false">'Flujo 12 meses'!C115</f>
        <v>7</v>
      </c>
    </row>
    <row r="25" customFormat="false" ht="15" hidden="false" customHeight="false" outlineLevel="0" collapsed="false">
      <c r="A25" s="0" t="s">
        <v>26</v>
      </c>
      <c r="B25" s="0" t="str">
        <f aca="false">IF('Flujo 12 meses'!C38&gt;0,"Sí","No")</f>
        <v>Sí</v>
      </c>
      <c r="C25" s="0" t="str">
        <f aca="false">IF('Flujo 12 meses'!C95&gt;0,"Sí","No")</f>
        <v>No</v>
      </c>
    </row>
    <row r="26" customFormat="false" ht="15" hidden="false" customHeight="false" outlineLevel="0" collapsed="false">
      <c r="A26" s="0" t="s">
        <v>27</v>
      </c>
      <c r="B26" s="0" t="n">
        <f aca="false">Supuestos!$B$18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0" t="s">
        <v>29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</row>
    <row r="5" customFormat="false" ht="15" hidden="false" customHeight="false" outlineLevel="0" collapsed="false">
      <c r="A5" s="0" t="s">
        <v>34</v>
      </c>
      <c r="B5" s="6" t="n">
        <v>17.5</v>
      </c>
      <c r="C5" s="7" t="s">
        <v>35</v>
      </c>
      <c r="D5" s="7" t="s">
        <v>36</v>
      </c>
    </row>
    <row r="6" customFormat="false" ht="15" hidden="false" customHeight="false" outlineLevel="0" collapsed="false">
      <c r="A6" s="0" t="s">
        <v>34</v>
      </c>
      <c r="B6" s="8" t="n">
        <v>20.5</v>
      </c>
      <c r="C6" s="7" t="s">
        <v>37</v>
      </c>
      <c r="D6" s="7" t="s">
        <v>38</v>
      </c>
    </row>
    <row r="7" customFormat="false" ht="15" hidden="false" customHeight="false" outlineLevel="0" collapsed="false">
      <c r="A7" s="0" t="s">
        <v>39</v>
      </c>
      <c r="B7" s="6" t="n">
        <v>249</v>
      </c>
      <c r="C7" s="7" t="s">
        <v>40</v>
      </c>
      <c r="D7" s="7" t="s">
        <v>41</v>
      </c>
    </row>
    <row r="8" customFormat="false" ht="15" hidden="false" customHeight="false" outlineLevel="0" collapsed="false">
      <c r="A8" s="0" t="s">
        <v>42</v>
      </c>
      <c r="B8" s="9" t="n">
        <v>0.3</v>
      </c>
      <c r="C8" s="7" t="s">
        <v>43</v>
      </c>
      <c r="D8" s="7" t="s">
        <v>44</v>
      </c>
    </row>
    <row r="9" customFormat="false" ht="15" hidden="false" customHeight="false" outlineLevel="0" collapsed="false">
      <c r="A9" s="0" t="s">
        <v>45</v>
      </c>
      <c r="B9" s="8" t="n">
        <v>49</v>
      </c>
      <c r="C9" s="7" t="s">
        <v>46</v>
      </c>
      <c r="D9" s="7" t="s">
        <v>47</v>
      </c>
    </row>
    <row r="10" customFormat="false" ht="15" hidden="false" customHeight="false" outlineLevel="0" collapsed="false">
      <c r="A10" s="0" t="s">
        <v>48</v>
      </c>
      <c r="B10" s="9" t="n">
        <v>0.036</v>
      </c>
      <c r="C10" s="7" t="s">
        <v>43</v>
      </c>
      <c r="D10" s="7" t="s">
        <v>49</v>
      </c>
    </row>
    <row r="11" customFormat="false" ht="15" hidden="false" customHeight="false" outlineLevel="0" collapsed="false">
      <c r="A11" s="0" t="s">
        <v>50</v>
      </c>
      <c r="B11" s="6" t="n">
        <v>3</v>
      </c>
      <c r="C11" s="7" t="s">
        <v>51</v>
      </c>
      <c r="D11" s="7" t="s">
        <v>52</v>
      </c>
    </row>
    <row r="12" customFormat="false" ht="15" hidden="false" customHeight="false" outlineLevel="0" collapsed="false">
      <c r="A12" s="0" t="s">
        <v>53</v>
      </c>
      <c r="B12" s="9" t="n">
        <v>0.16</v>
      </c>
      <c r="C12" s="7" t="s">
        <v>43</v>
      </c>
      <c r="D12" s="7" t="s">
        <v>54</v>
      </c>
    </row>
    <row r="13" customFormat="false" ht="15" hidden="false" customHeight="false" outlineLevel="0" collapsed="false">
      <c r="A13" s="0" t="s">
        <v>55</v>
      </c>
      <c r="B13" s="10" t="n">
        <v>0.1</v>
      </c>
      <c r="C13" s="7" t="s">
        <v>43</v>
      </c>
      <c r="D13" s="7" t="s">
        <v>56</v>
      </c>
    </row>
    <row r="14" customFormat="false" ht="15" hidden="false" customHeight="false" outlineLevel="0" collapsed="false">
      <c r="A14" s="0" t="s">
        <v>57</v>
      </c>
      <c r="B14" s="10" t="n">
        <v>0.35</v>
      </c>
      <c r="C14" s="7" t="s">
        <v>58</v>
      </c>
      <c r="D14" s="7" t="s">
        <v>59</v>
      </c>
    </row>
    <row r="15" customFormat="false" ht="15" hidden="false" customHeight="false" outlineLevel="0" collapsed="false">
      <c r="A15" s="0" t="s">
        <v>60</v>
      </c>
      <c r="B15" s="8" t="n">
        <v>10</v>
      </c>
      <c r="C15" s="7" t="s">
        <v>61</v>
      </c>
      <c r="D15" s="7" t="s">
        <v>62</v>
      </c>
    </row>
    <row r="16" customFormat="false" ht="15" hidden="false" customHeight="false" outlineLevel="0" collapsed="false">
      <c r="A16" s="0" t="s">
        <v>63</v>
      </c>
      <c r="B16" s="6" t="n">
        <v>30</v>
      </c>
      <c r="C16" s="7" t="s">
        <v>64</v>
      </c>
      <c r="D16" s="7" t="s">
        <v>65</v>
      </c>
    </row>
    <row r="17" customFormat="false" ht="15" hidden="false" customHeight="false" outlineLevel="0" collapsed="false">
      <c r="A17" s="0" t="s">
        <v>66</v>
      </c>
      <c r="B17" s="11" t="n">
        <v>0.0005</v>
      </c>
      <c r="C17" s="7" t="s">
        <v>67</v>
      </c>
      <c r="D17" s="7" t="s">
        <v>68</v>
      </c>
    </row>
    <row r="18" customFormat="false" ht="15" hidden="false" customHeight="false" outlineLevel="0" collapsed="false">
      <c r="A18" s="0" t="s">
        <v>69</v>
      </c>
      <c r="B18" s="6" t="n">
        <v>1</v>
      </c>
      <c r="C18" s="7" t="s">
        <v>70</v>
      </c>
      <c r="D18" s="7" t="s">
        <v>71</v>
      </c>
    </row>
    <row r="19" customFormat="false" ht="15" hidden="false" customHeight="false" outlineLevel="0" collapsed="false">
      <c r="A19" s="0" t="s">
        <v>72</v>
      </c>
      <c r="B19" s="11" t="n">
        <v>0.86</v>
      </c>
      <c r="C19" s="7" t="s">
        <v>40</v>
      </c>
      <c r="D19" s="7" t="s">
        <v>73</v>
      </c>
    </row>
    <row r="20" customFormat="false" ht="15" hidden="false" customHeight="false" outlineLevel="0" collapsed="false">
      <c r="A20" s="0" t="s">
        <v>74</v>
      </c>
      <c r="B20" s="11" t="n">
        <v>6.28</v>
      </c>
      <c r="C20" s="7" t="s">
        <v>40</v>
      </c>
      <c r="D20" s="7" t="s">
        <v>73</v>
      </c>
    </row>
    <row r="21" customFormat="false" ht="15" hidden="false" customHeight="false" outlineLevel="0" collapsed="false">
      <c r="A21" s="0" t="s">
        <v>75</v>
      </c>
      <c r="B21" s="11" t="n">
        <v>50596.56</v>
      </c>
      <c r="C21" s="7" t="s">
        <v>40</v>
      </c>
      <c r="D21" s="7" t="s">
        <v>76</v>
      </c>
    </row>
    <row r="22" customFormat="false" ht="15" hidden="false" customHeight="false" outlineLevel="0" collapsed="false">
      <c r="A22" s="0" t="s">
        <v>77</v>
      </c>
      <c r="B22" s="11" t="n">
        <v>116281.16</v>
      </c>
      <c r="C22" s="7" t="s">
        <v>40</v>
      </c>
      <c r="D22" s="7" t="s">
        <v>78</v>
      </c>
    </row>
    <row r="23" customFormat="false" ht="15" hidden="false" customHeight="false" outlineLevel="0" collapsed="false">
      <c r="A23" s="0" t="s">
        <v>79</v>
      </c>
      <c r="B23" s="11" t="n">
        <v>5.76</v>
      </c>
      <c r="C23" s="7" t="s">
        <v>40</v>
      </c>
      <c r="D23" s="7" t="s">
        <v>80</v>
      </c>
    </row>
    <row r="24" customFormat="false" ht="15" hidden="false" customHeight="false" outlineLevel="0" collapsed="false">
      <c r="A24" s="0" t="s">
        <v>81</v>
      </c>
      <c r="B24" s="11" t="n">
        <v>29.96</v>
      </c>
      <c r="C24" s="7" t="s">
        <v>40</v>
      </c>
      <c r="D24" s="7" t="s">
        <v>82</v>
      </c>
    </row>
    <row r="25" customFormat="false" ht="15" hidden="false" customHeight="false" outlineLevel="0" collapsed="false">
      <c r="A25" s="0" t="s">
        <v>83</v>
      </c>
      <c r="B25" s="6" t="n">
        <v>100</v>
      </c>
      <c r="C25" s="7" t="s">
        <v>67</v>
      </c>
      <c r="D25" s="7" t="s">
        <v>84</v>
      </c>
    </row>
    <row r="26" customFormat="false" ht="15" hidden="false" customHeight="false" outlineLevel="0" collapsed="false">
      <c r="A26" s="0" t="s">
        <v>85</v>
      </c>
      <c r="B26" s="8" t="n">
        <v>12</v>
      </c>
      <c r="C26" s="7" t="s">
        <v>67</v>
      </c>
      <c r="D26" s="7" t="s">
        <v>86</v>
      </c>
    </row>
    <row r="27" customFormat="false" ht="15" hidden="false" customHeight="false" outlineLevel="0" collapsed="false">
      <c r="A27" s="0" t="s">
        <v>87</v>
      </c>
      <c r="B27" s="8" t="n">
        <v>99</v>
      </c>
      <c r="C27" s="7" t="s">
        <v>67</v>
      </c>
      <c r="D27" s="7" t="s">
        <v>88</v>
      </c>
    </row>
    <row r="28" customFormat="false" ht="15" hidden="false" customHeight="false" outlineLevel="0" collapsed="false">
      <c r="A28" s="0" t="s">
        <v>89</v>
      </c>
      <c r="B28" s="6" t="n">
        <v>25</v>
      </c>
      <c r="C28" s="7" t="s">
        <v>90</v>
      </c>
      <c r="D28" s="7" t="s">
        <v>91</v>
      </c>
    </row>
    <row r="29" customFormat="false" ht="15" hidden="false" customHeight="false" outlineLevel="0" collapsed="false">
      <c r="A29" s="0" t="s">
        <v>92</v>
      </c>
      <c r="B29" s="9" t="n">
        <v>0.15</v>
      </c>
      <c r="C29" s="7" t="s">
        <v>43</v>
      </c>
      <c r="D29" s="7" t="s">
        <v>93</v>
      </c>
    </row>
    <row r="30" customFormat="false" ht="15" hidden="false" customHeight="false" outlineLevel="0" collapsed="false">
      <c r="A30" s="0" t="s">
        <v>94</v>
      </c>
      <c r="B30" s="9" t="n">
        <v>0.4</v>
      </c>
      <c r="C30" s="7" t="s">
        <v>43</v>
      </c>
      <c r="D30" s="7" t="s">
        <v>95</v>
      </c>
    </row>
    <row r="31" customFormat="false" ht="15" hidden="false" customHeight="false" outlineLevel="0" collapsed="false">
      <c r="A31" s="0" t="s">
        <v>96</v>
      </c>
      <c r="B31" s="6" t="n">
        <v>1100</v>
      </c>
      <c r="C31" s="7" t="s">
        <v>97</v>
      </c>
      <c r="D31" s="7" t="s">
        <v>98</v>
      </c>
    </row>
    <row r="32" customFormat="false" ht="15" hidden="false" customHeight="false" outlineLevel="0" collapsed="false">
      <c r="A32" s="0" t="s">
        <v>99</v>
      </c>
      <c r="B32" s="8" t="n">
        <v>150</v>
      </c>
      <c r="C32" s="7" t="s">
        <v>100</v>
      </c>
      <c r="D32" s="7" t="s">
        <v>101</v>
      </c>
    </row>
    <row r="33" customFormat="false" ht="15" hidden="false" customHeight="false" outlineLevel="0" collapsed="false">
      <c r="A33" s="0" t="s">
        <v>102</v>
      </c>
      <c r="B33" s="8" t="n">
        <v>400</v>
      </c>
      <c r="C33" s="7" t="s">
        <v>100</v>
      </c>
      <c r="D33" s="7" t="s">
        <v>103</v>
      </c>
    </row>
    <row r="34" customFormat="false" ht="15" hidden="false" customHeight="false" outlineLevel="0" collapsed="false">
      <c r="A34" s="0" t="s">
        <v>104</v>
      </c>
      <c r="B34" s="8" t="n">
        <v>1100</v>
      </c>
      <c r="C34" s="7" t="s">
        <v>100</v>
      </c>
      <c r="D34" s="7" t="s">
        <v>105</v>
      </c>
    </row>
    <row r="36" customFormat="false" ht="15" hidden="false" customHeight="false" outlineLevel="0" collapsed="false">
      <c r="A36" s="12" t="s">
        <v>106</v>
      </c>
    </row>
    <row r="37" customFormat="false" ht="15" hidden="false" customHeight="false" outlineLevel="0" collapsed="false">
      <c r="A37" s="0" t="s">
        <v>107</v>
      </c>
      <c r="B37" s="13" t="n">
        <f aca="false">(1+Supuestos!$B$29)^(1/12)-1</f>
        <v>0.0117149169198534</v>
      </c>
    </row>
    <row r="38" customFormat="false" ht="15" hidden="false" customHeight="false" outlineLevel="0" collapsed="false">
      <c r="A38" s="0" t="s">
        <v>108</v>
      </c>
      <c r="B38" s="3" t="n">
        <f aca="false">Supuestos!$B$7*(1-Supuestos!$B$8)</f>
        <v>174.3</v>
      </c>
    </row>
    <row r="39" customFormat="false" ht="15" hidden="false" customHeight="false" outlineLevel="0" collapsed="false">
      <c r="A39" s="0" t="s">
        <v>109</v>
      </c>
      <c r="B39" s="3" t="n">
        <f aca="false">(Supuestos!$B$9*Supuestos!$B$10+Supuestos!$B$11)*(1+Supuestos!$B$12)</f>
        <v>5.52624</v>
      </c>
    </row>
    <row r="40" customFormat="false" ht="15" hidden="false" customHeight="false" outlineLevel="0" collapsed="false">
      <c r="A40" s="0" t="s">
        <v>110</v>
      </c>
      <c r="B40" s="3" t="n">
        <f aca="false">Supuestos!$B$15*Supuestos!$B$16*Supuestos!$B$17*Supuestos!$B$18*Supuestos!$B$5</f>
        <v>2.625</v>
      </c>
    </row>
    <row r="41" customFormat="false" ht="15" hidden="false" customHeight="false" outlineLevel="0" collapsed="false">
      <c r="A41" s="0" t="s">
        <v>111</v>
      </c>
      <c r="B41" s="5" t="n">
        <f aca="false">(Supuestos!$B$25+Supuestos!$B$26+Supuestos!$B$27)*Supuestos!$B$5</f>
        <v>3692.5</v>
      </c>
    </row>
    <row r="42" customFormat="false" ht="15" hidden="false" customHeight="false" outlineLevel="0" collapsed="false">
      <c r="A42" s="0" t="s">
        <v>112</v>
      </c>
      <c r="B42" s="5" t="n">
        <f aca="false">Supuestos!$B$28*Supuestos!$B$5</f>
        <v>437.5</v>
      </c>
    </row>
    <row r="43" customFormat="false" ht="15" hidden="false" customHeight="false" outlineLevel="0" collapsed="false">
      <c r="A43" s="0" t="s">
        <v>113</v>
      </c>
      <c r="B43" s="14" t="n">
        <f aca="false">1/Supuestos!$B$14</f>
        <v>2.85714285714286</v>
      </c>
    </row>
    <row r="45" customFormat="false" ht="15" hidden="false" customHeight="false" outlineLevel="0" collapsed="false">
      <c r="A45" s="12" t="s">
        <v>114</v>
      </c>
      <c r="D45" s="7" t="s">
        <v>115</v>
      </c>
    </row>
    <row r="46" customFormat="false" ht="15" hidden="false" customHeight="false" outlineLevel="0" collapsed="false">
      <c r="A46" s="0" t="s">
        <v>116</v>
      </c>
      <c r="B46" s="10" t="n">
        <v>0.2</v>
      </c>
    </row>
    <row r="47" customFormat="false" ht="15" hidden="false" customHeight="false" outlineLevel="0" collapsed="false">
      <c r="A47" s="0" t="s">
        <v>117</v>
      </c>
      <c r="B47" s="10" t="n">
        <v>0.12</v>
      </c>
    </row>
    <row r="48" customFormat="false" ht="15" hidden="false" customHeight="false" outlineLevel="0" collapsed="false">
      <c r="A48" s="0" t="s">
        <v>118</v>
      </c>
      <c r="B48" s="10" t="n">
        <v>0.08</v>
      </c>
    </row>
    <row r="49" customFormat="false" ht="15" hidden="false" customHeight="false" outlineLevel="0" collapsed="false">
      <c r="A49" s="0" t="s">
        <v>119</v>
      </c>
      <c r="B49" s="10" t="n">
        <v>0.06</v>
      </c>
    </row>
    <row r="50" customFormat="false" ht="15" hidden="false" customHeight="false" outlineLevel="0" collapsed="false">
      <c r="A50" s="0" t="s">
        <v>120</v>
      </c>
      <c r="B50" s="10" t="n">
        <v>0.06</v>
      </c>
    </row>
    <row r="51" customFormat="false" ht="15" hidden="false" customHeight="false" outlineLevel="0" collapsed="false">
      <c r="A51" s="0" t="s">
        <v>121</v>
      </c>
      <c r="B51" s="10" t="n">
        <v>0.1</v>
      </c>
    </row>
    <row r="52" customFormat="false" ht="15" hidden="false" customHeight="false" outlineLevel="0" collapsed="false">
      <c r="A52" s="0" t="s">
        <v>122</v>
      </c>
      <c r="B52" s="10" t="n">
        <v>0.08</v>
      </c>
    </row>
    <row r="53" customFormat="false" ht="15" hidden="false" customHeight="false" outlineLevel="0" collapsed="false">
      <c r="A53" s="0" t="s">
        <v>123</v>
      </c>
      <c r="B53" s="10" t="n">
        <v>0.06</v>
      </c>
    </row>
    <row r="54" customFormat="false" ht="15" hidden="false" customHeight="false" outlineLevel="0" collapsed="false">
      <c r="A54" s="0" t="s">
        <v>124</v>
      </c>
      <c r="B54" s="10" t="n">
        <v>0.05</v>
      </c>
    </row>
    <row r="55" customFormat="false" ht="15" hidden="false" customHeight="false" outlineLevel="0" collapsed="false">
      <c r="A55" s="0" t="s">
        <v>125</v>
      </c>
      <c r="B55" s="10" t="n">
        <v>0.05</v>
      </c>
    </row>
    <row r="56" customFormat="false" ht="15" hidden="false" customHeight="false" outlineLevel="0" collapsed="false">
      <c r="A56" s="0" t="s">
        <v>126</v>
      </c>
      <c r="B56" s="10" t="n">
        <v>0.06</v>
      </c>
    </row>
    <row r="57" customFormat="false" ht="15" hidden="false" customHeight="false" outlineLevel="0" collapsed="false">
      <c r="A57" s="0" t="s">
        <v>127</v>
      </c>
      <c r="B57" s="10" t="n">
        <v>0.08</v>
      </c>
    </row>
    <row r="58" customFormat="false" ht="15" hidden="false" customHeight="false" outlineLevel="0" collapsed="false">
      <c r="A58" s="12" t="s">
        <v>128</v>
      </c>
      <c r="B58" s="13" t="n">
        <f aca="false">SUM(B46:B57)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60"/>
    <col collapsed="false" customWidth="true" hidden="false" outlineLevel="0" max="8" min="8" style="0" width="38"/>
  </cols>
  <sheetData>
    <row r="1" customFormat="false" ht="17.35" hidden="false" customHeight="false" outlineLevel="0" collapsed="false">
      <c r="A1" s="1" t="s">
        <v>129</v>
      </c>
    </row>
    <row r="3" customFormat="false" ht="15" hidden="false" customHeight="false" outlineLevel="0" collapsed="false">
      <c r="A3" s="2" t="s">
        <v>130</v>
      </c>
      <c r="B3" s="2" t="s">
        <v>131</v>
      </c>
      <c r="C3" s="2" t="s">
        <v>132</v>
      </c>
      <c r="D3" s="2" t="s">
        <v>133</v>
      </c>
      <c r="E3" s="2" t="s">
        <v>134</v>
      </c>
      <c r="F3" s="2" t="s">
        <v>40</v>
      </c>
      <c r="G3" s="2" t="s">
        <v>135</v>
      </c>
      <c r="H3" s="2" t="s">
        <v>136</v>
      </c>
    </row>
    <row r="4" customFormat="false" ht="15" hidden="false" customHeight="false" outlineLevel="0" collapsed="false">
      <c r="A4" s="12" t="s">
        <v>137</v>
      </c>
      <c r="B4" s="7" t="s">
        <v>138</v>
      </c>
      <c r="C4" s="7" t="s">
        <v>139</v>
      </c>
      <c r="D4" s="6" t="n">
        <v>14.99</v>
      </c>
      <c r="E4" s="7" t="s">
        <v>67</v>
      </c>
      <c r="F4" s="5" t="n">
        <f aca="false">D4*Supuestos!$B$5</f>
        <v>262.325</v>
      </c>
      <c r="G4" s="7" t="s">
        <v>140</v>
      </c>
      <c r="H4" s="7" t="s">
        <v>141</v>
      </c>
    </row>
    <row r="5" customFormat="false" ht="15" hidden="false" customHeight="false" outlineLevel="0" collapsed="false">
      <c r="A5" s="12" t="s">
        <v>142</v>
      </c>
      <c r="B5" s="7" t="s">
        <v>143</v>
      </c>
      <c r="C5" s="7" t="s">
        <v>139</v>
      </c>
      <c r="D5" s="6" t="n">
        <v>19.99</v>
      </c>
      <c r="E5" s="7" t="s">
        <v>67</v>
      </c>
      <c r="F5" s="5" t="n">
        <f aca="false">D5*Supuestos!$B$5</f>
        <v>349.825</v>
      </c>
      <c r="G5" s="7" t="s">
        <v>144</v>
      </c>
      <c r="H5" s="7" t="s">
        <v>145</v>
      </c>
    </row>
    <row r="6" customFormat="false" ht="15" hidden="false" customHeight="false" outlineLevel="0" collapsed="false">
      <c r="A6" s="12" t="s">
        <v>146</v>
      </c>
      <c r="B6" s="7" t="s">
        <v>147</v>
      </c>
      <c r="C6" s="7" t="s">
        <v>148</v>
      </c>
      <c r="D6" s="6" t="n">
        <v>5.6</v>
      </c>
      <c r="E6" s="7" t="s">
        <v>149</v>
      </c>
      <c r="F6" s="5" t="n">
        <f aca="false">D6*Supuestos!$B$6</f>
        <v>114.8</v>
      </c>
      <c r="G6" s="7" t="s">
        <v>150</v>
      </c>
      <c r="H6" s="7" t="s">
        <v>151</v>
      </c>
    </row>
    <row r="7" customFormat="false" ht="15" hidden="false" customHeight="false" outlineLevel="0" collapsed="false">
      <c r="A7" s="12" t="s">
        <v>152</v>
      </c>
      <c r="B7" s="7" t="s">
        <v>153</v>
      </c>
      <c r="C7" s="7" t="s">
        <v>148</v>
      </c>
      <c r="D7" s="6" t="n">
        <v>9.99</v>
      </c>
      <c r="E7" s="7" t="s">
        <v>90</v>
      </c>
      <c r="F7" s="5" t="n">
        <f aca="false">D7*Supuestos!$B$5</f>
        <v>174.825</v>
      </c>
      <c r="G7" s="7" t="s">
        <v>154</v>
      </c>
      <c r="H7" s="7" t="s">
        <v>155</v>
      </c>
    </row>
    <row r="8" customFormat="false" ht="15" hidden="false" customHeight="false" outlineLevel="0" collapsed="false">
      <c r="A8" s="12" t="s">
        <v>156</v>
      </c>
      <c r="B8" s="7" t="s">
        <v>157</v>
      </c>
      <c r="C8" s="7" t="s">
        <v>139</v>
      </c>
      <c r="D8" s="6" t="n">
        <v>119</v>
      </c>
      <c r="E8" s="7" t="s">
        <v>40</v>
      </c>
      <c r="F8" s="5" t="n">
        <f aca="false">D8*1</f>
        <v>119</v>
      </c>
      <c r="G8" s="7" t="s">
        <v>158</v>
      </c>
      <c r="H8" s="7" t="s">
        <v>155</v>
      </c>
    </row>
    <row r="10" customFormat="false" ht="15" hidden="false" customHeight="false" outlineLevel="0" collapsed="false">
      <c r="A10" s="12" t="s">
        <v>159</v>
      </c>
    </row>
    <row r="11" customFormat="false" ht="15" hidden="false" customHeight="false" outlineLevel="0" collapsed="false">
      <c r="A11" s="0" t="s">
        <v>160</v>
      </c>
    </row>
    <row r="13" customFormat="false" ht="15" hidden="false" customHeight="false" outlineLevel="0" collapsed="false">
      <c r="A13" s="12" t="s">
        <v>161</v>
      </c>
    </row>
    <row r="14" customFormat="false" ht="28.35" hidden="false" customHeight="false" outlineLevel="0" collapsed="false">
      <c r="A14" s="2" t="s">
        <v>162</v>
      </c>
      <c r="B14" s="2" t="s">
        <v>163</v>
      </c>
      <c r="C14" s="2" t="s">
        <v>164</v>
      </c>
      <c r="D14" s="2" t="s">
        <v>165</v>
      </c>
      <c r="E14" s="2"/>
      <c r="F14" s="2"/>
      <c r="G14" s="2" t="s">
        <v>166</v>
      </c>
    </row>
    <row r="15" customFormat="false" ht="15" hidden="false" customHeight="false" outlineLevel="0" collapsed="false">
      <c r="A15" s="0" t="s">
        <v>167</v>
      </c>
      <c r="B15" s="0" t="s">
        <v>168</v>
      </c>
      <c r="C15" s="0" t="s">
        <v>169</v>
      </c>
      <c r="D15" s="0" t="s">
        <v>170</v>
      </c>
      <c r="G15" s="0" t="s">
        <v>171</v>
      </c>
    </row>
    <row r="16" customFormat="false" ht="15" hidden="false" customHeight="false" outlineLevel="0" collapsed="false">
      <c r="A16" s="0" t="s">
        <v>172</v>
      </c>
      <c r="B16" s="0" t="s">
        <v>173</v>
      </c>
      <c r="C16" s="0" t="s">
        <v>174</v>
      </c>
      <c r="D16" s="0" t="s">
        <v>175</v>
      </c>
      <c r="G16" s="0" t="s">
        <v>176</v>
      </c>
    </row>
    <row r="17" customFormat="false" ht="15" hidden="false" customHeight="false" outlineLevel="0" collapsed="false">
      <c r="A17" s="0" t="s">
        <v>177</v>
      </c>
      <c r="B17" s="0" t="s">
        <v>178</v>
      </c>
      <c r="C17" s="0" t="s">
        <v>179</v>
      </c>
      <c r="D17" s="0" t="s">
        <v>180</v>
      </c>
      <c r="G17" s="0" t="s">
        <v>181</v>
      </c>
    </row>
    <row r="18" customFormat="false" ht="15" hidden="false" customHeight="false" outlineLevel="0" collapsed="false">
      <c r="A18" s="0" t="s">
        <v>182</v>
      </c>
      <c r="B18" s="0" t="s">
        <v>183</v>
      </c>
      <c r="C18" s="0" t="s">
        <v>184</v>
      </c>
      <c r="D18" s="0" t="s">
        <v>185</v>
      </c>
      <c r="G18" s="0" t="s">
        <v>186</v>
      </c>
    </row>
    <row r="19" customFormat="false" ht="15" hidden="false" customHeight="false" outlineLevel="0" collapsed="false">
      <c r="A19" s="0" t="s">
        <v>187</v>
      </c>
      <c r="B19" s="0" t="s">
        <v>188</v>
      </c>
      <c r="C19" s="0" t="s">
        <v>189</v>
      </c>
      <c r="D19" s="0" t="s">
        <v>180</v>
      </c>
      <c r="G19" s="0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8"/>
    <col collapsed="false" customWidth="true" hidden="false" outlineLevel="0" max="5" min="4" style="0" width="20"/>
  </cols>
  <sheetData>
    <row r="1" customFormat="false" ht="17.3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0" t="s">
        <v>192</v>
      </c>
    </row>
    <row r="4" customFormat="false" ht="28.35" hidden="false" customHeight="false" outlineLevel="0" collapsed="false">
      <c r="A4" s="2" t="s">
        <v>193</v>
      </c>
      <c r="B4" s="2" t="s">
        <v>194</v>
      </c>
      <c r="C4" s="2" t="s">
        <v>195</v>
      </c>
      <c r="D4" s="2" t="s">
        <v>196</v>
      </c>
      <c r="E4" s="2" t="s">
        <v>197</v>
      </c>
    </row>
    <row r="5" customFormat="false" ht="15" hidden="false" customHeight="false" outlineLevel="0" collapsed="false">
      <c r="A5" s="0" t="s">
        <v>198</v>
      </c>
      <c r="B5" s="6" t="n">
        <v>10</v>
      </c>
      <c r="C5" s="6" t="n">
        <v>100</v>
      </c>
      <c r="D5" s="6" t="n">
        <v>10</v>
      </c>
      <c r="E5" s="6" t="n">
        <v>100</v>
      </c>
    </row>
    <row r="6" customFormat="false" ht="15" hidden="false" customHeight="false" outlineLevel="0" collapsed="false">
      <c r="A6" s="0" t="s">
        <v>199</v>
      </c>
      <c r="B6" s="3" t="n">
        <f aca="false">0</f>
        <v>0</v>
      </c>
      <c r="C6" s="3" t="n">
        <f aca="false">0</f>
        <v>0</v>
      </c>
      <c r="D6" s="3" t="n">
        <f aca="false">0</f>
        <v>0</v>
      </c>
      <c r="E6" s="3" t="n">
        <f aca="false">0</f>
        <v>0</v>
      </c>
    </row>
    <row r="7" customFormat="false" ht="15" hidden="false" customHeight="false" outlineLevel="0" collapsed="false">
      <c r="A7" s="0" t="s">
        <v>200</v>
      </c>
      <c r="B7" s="3" t="n">
        <f aca="false">Supuestos!$B$21/B5</f>
        <v>5059.656</v>
      </c>
      <c r="C7" s="3" t="n">
        <f aca="false">Supuestos!$B$21/C5</f>
        <v>505.9656</v>
      </c>
      <c r="D7" s="3" t="n">
        <f aca="false">Supuestos!$B$22/D5</f>
        <v>11628.116</v>
      </c>
      <c r="E7" s="3" t="n">
        <f aca="false">Supuestos!$B$22/E5</f>
        <v>1162.8116</v>
      </c>
    </row>
    <row r="8" customFormat="false" ht="15" hidden="false" customHeight="false" outlineLevel="0" collapsed="false">
      <c r="A8" s="0" t="s">
        <v>201</v>
      </c>
      <c r="B8" s="3" t="n">
        <f aca="false">(Supuestos!$B$41+Supuestos!$B$23)/B5</f>
        <v>369.826</v>
      </c>
      <c r="C8" s="3" t="n">
        <f aca="false">(Supuestos!$B$41+Supuestos!$B$23)/C5</f>
        <v>36.9826</v>
      </c>
      <c r="D8" s="3" t="n">
        <f aca="false">(Supuestos!$B$41+Supuestos!$B$24)/D5</f>
        <v>372.246</v>
      </c>
      <c r="E8" s="3" t="n">
        <f aca="false">(Supuestos!$B$41+Supuestos!$B$24)/E5</f>
        <v>37.2246</v>
      </c>
    </row>
    <row r="9" customFormat="false" ht="15" hidden="false" customHeight="false" outlineLevel="0" collapsed="false">
      <c r="A9" s="0" t="s">
        <v>202</v>
      </c>
      <c r="B9" s="3" t="n">
        <f aca="false">Supuestos!$B$42*12/B5</f>
        <v>525</v>
      </c>
      <c r="C9" s="3" t="n">
        <f aca="false">Supuestos!$B$42*12/C5</f>
        <v>52.5</v>
      </c>
      <c r="D9" s="3" t="n">
        <f aca="false">Supuestos!$B$42*12/D5</f>
        <v>525</v>
      </c>
      <c r="E9" s="3" t="n">
        <f aca="false">Supuestos!$B$42*12/E5</f>
        <v>52.5</v>
      </c>
    </row>
    <row r="10" customFormat="false" ht="15" hidden="false" customHeight="false" outlineLevel="0" collapsed="false">
      <c r="A10" s="0" t="s">
        <v>203</v>
      </c>
      <c r="B10" s="3" t="n">
        <f aca="false">Supuestos!$B$19*Supuestos!$B$18</f>
        <v>0.86</v>
      </c>
      <c r="C10" s="3" t="n">
        <f aca="false">Supuestos!$B$19*Supuestos!$B$18</f>
        <v>0.86</v>
      </c>
      <c r="D10" s="3" t="n">
        <f aca="false">Supuestos!$B$20*Supuestos!$B$18</f>
        <v>6.28</v>
      </c>
      <c r="E10" s="3" t="n">
        <f aca="false">Supuestos!$B$20*Supuestos!$B$18</f>
        <v>6.28</v>
      </c>
    </row>
    <row r="11" customFormat="false" ht="15" hidden="false" customHeight="false" outlineLevel="0" collapsed="false">
      <c r="A11" s="0" t="s">
        <v>204</v>
      </c>
      <c r="B11" s="3" t="n">
        <f aca="false">Supuestos!$B$7*Supuestos!$B$8</f>
        <v>74.7</v>
      </c>
      <c r="C11" s="3" t="n">
        <f aca="false">Supuestos!$B$7*Supuestos!$B$8</f>
        <v>74.7</v>
      </c>
      <c r="D11" s="3" t="n">
        <f aca="false">Supuestos!$B$7*Supuestos!$B$8</f>
        <v>74.7</v>
      </c>
      <c r="E11" s="3" t="n">
        <f aca="false">Supuestos!$B$7*Supuestos!$B$8</f>
        <v>74.7</v>
      </c>
    </row>
    <row r="12" customFormat="false" ht="15" hidden="false" customHeight="false" outlineLevel="0" collapsed="false">
      <c r="A12" s="12" t="s">
        <v>205</v>
      </c>
      <c r="B12" s="15" t="n">
        <f aca="false">SUM(B6:B11)</f>
        <v>6030.042</v>
      </c>
      <c r="C12" s="15" t="n">
        <f aca="false">SUM(C6:C11)</f>
        <v>671.0082</v>
      </c>
      <c r="D12" s="15" t="n">
        <f aca="false">SUM(D6:D11)</f>
        <v>12606.342</v>
      </c>
      <c r="E12" s="15" t="n">
        <f aca="false">SUM(E6:E11)</f>
        <v>1333.5162</v>
      </c>
    </row>
    <row r="13" customFormat="false" ht="15" hidden="false" customHeight="false" outlineLevel="0" collapsed="false">
      <c r="A13" s="0" t="s">
        <v>206</v>
      </c>
      <c r="B13" s="3" t="n">
        <f aca="false">B10+B11</f>
        <v>75.56</v>
      </c>
      <c r="C13" s="3" t="n">
        <f aca="false">C10+C11</f>
        <v>75.56</v>
      </c>
      <c r="D13" s="3" t="n">
        <f aca="false">D10+D11</f>
        <v>80.98</v>
      </c>
      <c r="E13" s="3" t="n">
        <f aca="false">E10+E11</f>
        <v>80.98</v>
      </c>
    </row>
    <row r="14" customFormat="false" ht="15" hidden="false" customHeight="false" outlineLevel="0" collapsed="false">
      <c r="A14" s="0" t="s">
        <v>207</v>
      </c>
      <c r="B14" s="3" t="n">
        <f aca="false">B12-B7</f>
        <v>970.386</v>
      </c>
      <c r="C14" s="3" t="n">
        <f aca="false">C12-C7</f>
        <v>165.0426</v>
      </c>
      <c r="D14" s="3" t="n">
        <f aca="false">D12-D7</f>
        <v>978.226000000001</v>
      </c>
      <c r="E14" s="3" t="n">
        <f aca="false">E12-E7</f>
        <v>170.7046</v>
      </c>
    </row>
    <row r="15" customFormat="false" ht="15" hidden="false" customHeight="false" outlineLevel="0" collapsed="false">
      <c r="A15" s="0" t="s">
        <v>208</v>
      </c>
      <c r="B15" s="3" t="n">
        <f aca="false">Supuestos!$B$7</f>
        <v>249</v>
      </c>
      <c r="C15" s="3" t="n">
        <f aca="false">Supuestos!$B$7</f>
        <v>249</v>
      </c>
      <c r="D15" s="3" t="n">
        <f aca="false">Supuestos!$B$7</f>
        <v>249</v>
      </c>
      <c r="E15" s="3" t="n">
        <f aca="false">Supuestos!$B$7</f>
        <v>249</v>
      </c>
    </row>
    <row r="16" customFormat="false" ht="15" hidden="false" customHeight="false" outlineLevel="0" collapsed="false">
      <c r="A16" s="0" t="s">
        <v>209</v>
      </c>
      <c r="B16" s="3" t="n">
        <f aca="false">B15-B12</f>
        <v>-5781.042</v>
      </c>
      <c r="C16" s="3" t="n">
        <f aca="false">C15-C12</f>
        <v>-422.0082</v>
      </c>
      <c r="D16" s="3" t="n">
        <f aca="false">D15-D12</f>
        <v>-12357.342</v>
      </c>
      <c r="E16" s="3" t="n">
        <f aca="false">E15-E12</f>
        <v>-1084.5162</v>
      </c>
    </row>
    <row r="18" customFormat="false" ht="15" hidden="false" customHeight="false" outlineLevel="0" collapsed="false">
      <c r="A18" s="0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211</v>
      </c>
    </row>
    <row r="3" customFormat="false" ht="15" hidden="false" customHeight="false" outlineLevel="0" collapsed="false">
      <c r="A3" s="2" t="s">
        <v>212</v>
      </c>
      <c r="B3" s="2" t="s">
        <v>15</v>
      </c>
      <c r="C3" s="2" t="s">
        <v>16</v>
      </c>
      <c r="D3" s="2" t="s">
        <v>213</v>
      </c>
    </row>
    <row r="4" customFormat="false" ht="15" hidden="false" customHeight="false" outlineLevel="0" collapsed="false">
      <c r="A4" s="0" t="s">
        <v>214</v>
      </c>
      <c r="B4" s="0" t="n">
        <f aca="false">Supuestos!$B$33</f>
        <v>400</v>
      </c>
      <c r="C4" s="0" t="n">
        <f aca="false">Supuestos!$B$33</f>
        <v>400</v>
      </c>
    </row>
    <row r="5" customFormat="false" ht="15" hidden="false" customHeight="false" outlineLevel="0" collapsed="false">
      <c r="A5" s="0" t="s">
        <v>215</v>
      </c>
      <c r="B5" s="5" t="n">
        <f aca="false">(Supuestos!$B$21+Supuestos!$B$41+Supuestos!$B$23+Supuestos!$B$42*12)/B4+Supuestos!$B$19*Supuestos!$B$18</f>
        <v>149.72205</v>
      </c>
      <c r="C5" s="5" t="n">
        <f aca="false">(Supuestos!$B$22+Supuestos!$B$41+Supuestos!$B$24+Supuestos!$B$42*12)/C4+Supuestos!$B$20*Supuestos!$B$18</f>
        <v>319.41405</v>
      </c>
    </row>
    <row r="6" customFormat="false" ht="15" hidden="false" customHeight="false" outlineLevel="0" collapsed="false">
      <c r="A6" s="0" t="s">
        <v>216</v>
      </c>
      <c r="B6" s="5" t="n">
        <f aca="false">B5*(1+Supuestos!$B$30)</f>
        <v>209.61087</v>
      </c>
      <c r="C6" s="5" t="n">
        <f aca="false">C5*(1+Supuestos!$B$30)</f>
        <v>447.17967</v>
      </c>
    </row>
    <row r="7" customFormat="false" ht="15" hidden="false" customHeight="false" outlineLevel="0" collapsed="false">
      <c r="A7" s="0" t="s">
        <v>217</v>
      </c>
      <c r="B7" s="5" t="n">
        <f aca="false">B6/(1-Supuestos!$B$8)</f>
        <v>299.4441</v>
      </c>
      <c r="C7" s="5" t="n">
        <f aca="false">C6/(1-Supuestos!$B$8)</f>
        <v>638.8281</v>
      </c>
      <c r="D7" s="7" t="s">
        <v>218</v>
      </c>
    </row>
    <row r="8" customFormat="false" ht="15" hidden="false" customHeight="false" outlineLevel="0" collapsed="false">
      <c r="A8" s="0" t="s">
        <v>219</v>
      </c>
      <c r="B8" s="5" t="n">
        <f aca="false">Benchmark!$F$5</f>
        <v>349.825</v>
      </c>
      <c r="C8" s="5" t="n">
        <f aca="false">Benchmark!$F$5</f>
        <v>349.825</v>
      </c>
      <c r="D8" s="7" t="s">
        <v>220</v>
      </c>
    </row>
    <row r="9" customFormat="false" ht="15" hidden="false" customHeight="false" outlineLevel="0" collapsed="false">
      <c r="A9" s="0" t="s">
        <v>221</v>
      </c>
      <c r="B9" s="5" t="n">
        <f aca="false">Supuestos!$B$7</f>
        <v>249</v>
      </c>
      <c r="C9" s="5" t="n">
        <f aca="false">Supuestos!$B$7</f>
        <v>249</v>
      </c>
      <c r="D9" s="7" t="s">
        <v>222</v>
      </c>
    </row>
    <row r="10" customFormat="false" ht="15" hidden="false" customHeight="false" outlineLevel="0" collapsed="false">
      <c r="A10" s="0" t="s">
        <v>223</v>
      </c>
      <c r="B10" s="0" t="str">
        <f aca="false">IF(B9&gt;=B7,"Cubre el piso cost-plus",IF(B9&gt;=B5/(1-Supuestos!$B$8),"Cubre costos, no el 40%","No cubre costos"))</f>
        <v>Cubre costos, no el 40%</v>
      </c>
      <c r="C10" s="0" t="str">
        <f aca="false">IF(C9&gt;=C7,"Cubre el piso cost-plus",IF(C9&gt;=C5/(1-Supuestos!$B$8),"Cubre costos, no el 40%","No cubre costos"))</f>
        <v>No cubre costos</v>
      </c>
    </row>
    <row r="12" customFormat="false" ht="15" hidden="false" customHeight="false" outlineLevel="0" collapsed="false">
      <c r="A12" s="2" t="s">
        <v>224</v>
      </c>
      <c r="B12" s="2" t="s">
        <v>31</v>
      </c>
      <c r="C12" s="2"/>
      <c r="D12" s="2" t="s">
        <v>213</v>
      </c>
    </row>
    <row r="13" customFormat="false" ht="15" hidden="false" customHeight="false" outlineLevel="0" collapsed="false">
      <c r="A13" s="0" t="s">
        <v>225</v>
      </c>
      <c r="B13" s="3" t="n">
        <f aca="false">Supuestos!$B$40+Supuestos!$B$39</f>
        <v>8.15124</v>
      </c>
    </row>
    <row r="14" customFormat="false" ht="15" hidden="false" customHeight="false" outlineLevel="0" collapsed="false">
      <c r="A14" s="0" t="s">
        <v>226</v>
      </c>
      <c r="B14" s="3" t="n">
        <f aca="false">B13*(1+Supuestos!$B$30)</f>
        <v>11.411736</v>
      </c>
      <c r="D14" s="7" t="s">
        <v>227</v>
      </c>
    </row>
    <row r="15" customFormat="false" ht="15" hidden="false" customHeight="false" outlineLevel="0" collapsed="false">
      <c r="A15" s="0" t="s">
        <v>228</v>
      </c>
      <c r="B15" s="3" t="n">
        <f aca="false">Benchmark!$F$6</f>
        <v>114.8</v>
      </c>
    </row>
    <row r="16" customFormat="false" ht="15" hidden="false" customHeight="false" outlineLevel="0" collapsed="false">
      <c r="A16" s="0" t="s">
        <v>221</v>
      </c>
      <c r="B16" s="3" t="n">
        <f aca="false">Supuestos!$B$9</f>
        <v>49</v>
      </c>
      <c r="D16" s="7" t="s">
        <v>229</v>
      </c>
    </row>
    <row r="17" customFormat="false" ht="15" hidden="false" customHeight="false" outlineLevel="0" collapsed="false">
      <c r="A17" s="0" t="s">
        <v>230</v>
      </c>
      <c r="B17" s="3" t="n">
        <f aca="false">B16-B13</f>
        <v>40.84876</v>
      </c>
    </row>
    <row r="18" customFormat="false" ht="15" hidden="false" customHeight="false" outlineLevel="0" collapsed="false">
      <c r="A18" s="0" t="s">
        <v>231</v>
      </c>
      <c r="B18" s="3" t="n">
        <f aca="false">Supuestos!$B$13*Supuestos!$B$43*B17</f>
        <v>11.6710742857143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5" min="12" style="0" width="14"/>
  </cols>
  <sheetData>
    <row r="1" customFormat="false" ht="17.35" hidden="false" customHeight="false" outlineLevel="0" collapsed="false">
      <c r="A1" s="1" t="s">
        <v>232</v>
      </c>
    </row>
    <row r="2" customFormat="false" ht="15" hidden="false" customHeight="false" outlineLevel="0" collapsed="false">
      <c r="A2" s="0" t="s">
        <v>233</v>
      </c>
    </row>
    <row r="4" customFormat="false" ht="15" hidden="false" customHeight="false" outlineLevel="0" collapsed="false">
      <c r="A4" s="12" t="str">
        <f aca="false">"MVP · escenario pesimista — copias en el año 1: "&amp;TEXT(Supuestos!$B$32,"#,##0")</f>
        <v>MVP · escenario pesimista — copias en el año 1: 150</v>
      </c>
    </row>
    <row r="5" customFormat="false" ht="41.75" hidden="false" customHeight="false" outlineLevel="0" collapsed="false">
      <c r="A5" s="2" t="s">
        <v>234</v>
      </c>
      <c r="B5" s="2" t="s">
        <v>235</v>
      </c>
      <c r="C5" s="2" t="s">
        <v>236</v>
      </c>
      <c r="D5" s="2" t="s">
        <v>237</v>
      </c>
      <c r="E5" s="2" t="s">
        <v>238</v>
      </c>
      <c r="F5" s="2" t="s">
        <v>239</v>
      </c>
      <c r="G5" s="2" t="s">
        <v>240</v>
      </c>
      <c r="H5" s="2" t="s">
        <v>241</v>
      </c>
      <c r="I5" s="2" t="s">
        <v>242</v>
      </c>
      <c r="J5" s="2" t="s">
        <v>243</v>
      </c>
      <c r="K5" s="2" t="s">
        <v>244</v>
      </c>
      <c r="L5" s="2" t="s">
        <v>245</v>
      </c>
      <c r="M5" s="2" t="s">
        <v>246</v>
      </c>
      <c r="N5" s="2" t="s">
        <v>247</v>
      </c>
      <c r="O5" s="2" t="s">
        <v>248</v>
      </c>
    </row>
    <row r="6" customFormat="false" ht="15" hidden="false" customHeight="false" outlineLevel="0" collapsed="false">
      <c r="A6" s="0" t="n">
        <v>0</v>
      </c>
      <c r="B6" s="16" t="n">
        <f aca="false">0</f>
        <v>0</v>
      </c>
      <c r="C6" s="5" t="n">
        <f aca="false">B6*Supuestos!$B$7</f>
        <v>0</v>
      </c>
      <c r="D6" s="5" t="n">
        <f aca="false">-C6*Supuestos!$B$8</f>
        <v>-0</v>
      </c>
      <c r="E6" s="5" t="n">
        <f aca="false">-B6*Supuestos!$B$19*Supuestos!$B$18</f>
        <v>-0</v>
      </c>
      <c r="F6" s="16" t="n">
        <f aca="false">0</f>
        <v>0</v>
      </c>
      <c r="G6" s="5" t="n">
        <f aca="false">F6*Supuestos!$B$9</f>
        <v>0</v>
      </c>
      <c r="H6" s="5" t="n">
        <f aca="false">-F6*Supuestos!$B$39</f>
        <v>-0</v>
      </c>
      <c r="I6" s="5" t="n">
        <f aca="false">-F6*Supuestos!$B$40</f>
        <v>-0</v>
      </c>
      <c r="J6" s="5" t="n">
        <f aca="false">0</f>
        <v>0</v>
      </c>
      <c r="K6" s="5" t="n">
        <f aca="false">-(Supuestos!$B$21+Supuestos!$B$41)</f>
        <v>-54289.06</v>
      </c>
      <c r="L6" s="17" t="n">
        <f aca="false">C6+D6+E6+G6+H6+I6+J6+K6</f>
        <v>-54289.06</v>
      </c>
      <c r="M6" s="5" t="n">
        <f aca="false">L6</f>
        <v>-54289.06</v>
      </c>
      <c r="N6" s="5" t="n">
        <f aca="false">L6-K6-(Supuestos!$B$41+Supuestos!$B$23)</f>
        <v>-3698.26</v>
      </c>
      <c r="O6" s="5" t="n">
        <f aca="false">N6</f>
        <v>-3698.26</v>
      </c>
    </row>
    <row r="7" customFormat="false" ht="15" hidden="false" customHeight="false" outlineLevel="0" collapsed="false">
      <c r="A7" s="0" t="n">
        <v>1</v>
      </c>
      <c r="B7" s="16" t="n">
        <f aca="false">Supuestos!$B$32*Supuestos!$B$46</f>
        <v>30</v>
      </c>
      <c r="C7" s="5" t="n">
        <f aca="false">B7*Supuestos!$B$7</f>
        <v>7470</v>
      </c>
      <c r="D7" s="5" t="n">
        <f aca="false">-C7*Supuestos!$B$8</f>
        <v>-2241</v>
      </c>
      <c r="E7" s="5" t="n">
        <f aca="false">-B7*Supuestos!$B$19*Supuestos!$B$18</f>
        <v>-25.8</v>
      </c>
      <c r="F7" s="16" t="n">
        <f aca="false">F6*(1-Supuestos!$B$14)+B7*Supuestos!$B$13</f>
        <v>3</v>
      </c>
      <c r="G7" s="5" t="n">
        <f aca="false">F7*Supuestos!$B$9</f>
        <v>147</v>
      </c>
      <c r="H7" s="5" t="n">
        <f aca="false">-F7*Supuestos!$B$39</f>
        <v>-16.57872</v>
      </c>
      <c r="I7" s="5" t="n">
        <f aca="false">-F7*Supuestos!$B$40</f>
        <v>-7.875</v>
      </c>
      <c r="J7" s="5" t="n">
        <f aca="false">-Supuestos!$B$42</f>
        <v>-437.5</v>
      </c>
      <c r="K7" s="5" t="n">
        <f aca="false">0</f>
        <v>0</v>
      </c>
      <c r="L7" s="17" t="n">
        <f aca="false">C7+D7+E7+G7+H7+I7+J7+K7</f>
        <v>4888.24628</v>
      </c>
      <c r="M7" s="5" t="n">
        <f aca="false">M6+L7</f>
        <v>-49400.81372</v>
      </c>
      <c r="N7" s="5" t="n">
        <f aca="false">L7</f>
        <v>4888.24628</v>
      </c>
      <c r="O7" s="5" t="n">
        <f aca="false">O6+N7</f>
        <v>1189.98628</v>
      </c>
    </row>
    <row r="8" customFormat="false" ht="15" hidden="false" customHeight="false" outlineLevel="0" collapsed="false">
      <c r="A8" s="0" t="n">
        <v>2</v>
      </c>
      <c r="B8" s="16" t="n">
        <f aca="false">Supuestos!$B$32*Supuestos!$B$47</f>
        <v>18</v>
      </c>
      <c r="C8" s="5" t="n">
        <f aca="false">B8*Supuestos!$B$7</f>
        <v>4482</v>
      </c>
      <c r="D8" s="5" t="n">
        <f aca="false">-C8*Supuestos!$B$8</f>
        <v>-1344.6</v>
      </c>
      <c r="E8" s="5" t="n">
        <f aca="false">-B8*Supuestos!$B$19*Supuestos!$B$18</f>
        <v>-15.48</v>
      </c>
      <c r="F8" s="16" t="n">
        <f aca="false">F7*(1-Supuestos!$B$14)+B8*Supuestos!$B$13</f>
        <v>3.75</v>
      </c>
      <c r="G8" s="5" t="n">
        <f aca="false">F8*Supuestos!$B$9</f>
        <v>183.75</v>
      </c>
      <c r="H8" s="5" t="n">
        <f aca="false">-F8*Supuestos!$B$39</f>
        <v>-20.7234</v>
      </c>
      <c r="I8" s="5" t="n">
        <f aca="false">-F8*Supuestos!$B$40</f>
        <v>-9.84375</v>
      </c>
      <c r="J8" s="5" t="n">
        <f aca="false">-Supuestos!$B$42</f>
        <v>-437.5</v>
      </c>
      <c r="K8" s="5" t="n">
        <f aca="false">0</f>
        <v>0</v>
      </c>
      <c r="L8" s="17" t="n">
        <f aca="false">C8+D8+E8+G8+H8+I8+J8+K8</f>
        <v>2837.60285</v>
      </c>
      <c r="M8" s="5" t="n">
        <f aca="false">M7+L8</f>
        <v>-46563.21087</v>
      </c>
      <c r="N8" s="5" t="n">
        <f aca="false">L8</f>
        <v>2837.60285</v>
      </c>
      <c r="O8" s="5" t="n">
        <f aca="false">O7+N8</f>
        <v>4027.58913</v>
      </c>
    </row>
    <row r="9" customFormat="false" ht="15" hidden="false" customHeight="false" outlineLevel="0" collapsed="false">
      <c r="A9" s="0" t="n">
        <v>3</v>
      </c>
      <c r="B9" s="16" t="n">
        <f aca="false">Supuestos!$B$32*Supuestos!$B$48</f>
        <v>12</v>
      </c>
      <c r="C9" s="5" t="n">
        <f aca="false">B9*Supuestos!$B$7</f>
        <v>2988</v>
      </c>
      <c r="D9" s="5" t="n">
        <f aca="false">-C9*Supuestos!$B$8</f>
        <v>-896.4</v>
      </c>
      <c r="E9" s="5" t="n">
        <f aca="false">-B9*Supuestos!$B$19*Supuestos!$B$18</f>
        <v>-10.32</v>
      </c>
      <c r="F9" s="16" t="n">
        <f aca="false">F8*(1-Supuestos!$B$14)+B9*Supuestos!$B$13</f>
        <v>3.6375</v>
      </c>
      <c r="G9" s="5" t="n">
        <f aca="false">F9*Supuestos!$B$9</f>
        <v>178.2375</v>
      </c>
      <c r="H9" s="5" t="n">
        <f aca="false">-F9*Supuestos!$B$39</f>
        <v>-20.101698</v>
      </c>
      <c r="I9" s="5" t="n">
        <f aca="false">-F9*Supuestos!$B$40</f>
        <v>-9.5484375</v>
      </c>
      <c r="J9" s="5" t="n">
        <f aca="false">-Supuestos!$B$42</f>
        <v>-437.5</v>
      </c>
      <c r="K9" s="5" t="n">
        <f aca="false">0</f>
        <v>0</v>
      </c>
      <c r="L9" s="17" t="n">
        <f aca="false">C9+D9+E9+G9+H9+I9+J9+K9</f>
        <v>1792.3673645</v>
      </c>
      <c r="M9" s="5" t="n">
        <f aca="false">M8+L9</f>
        <v>-44770.8435055</v>
      </c>
      <c r="N9" s="5" t="n">
        <f aca="false">L9</f>
        <v>1792.3673645</v>
      </c>
      <c r="O9" s="5" t="n">
        <f aca="false">O8+N9</f>
        <v>5819.9564945</v>
      </c>
    </row>
    <row r="10" customFormat="false" ht="15" hidden="false" customHeight="false" outlineLevel="0" collapsed="false">
      <c r="A10" s="0" t="n">
        <v>4</v>
      </c>
      <c r="B10" s="16" t="n">
        <f aca="false">Supuestos!$B$32*Supuestos!$B$49</f>
        <v>9</v>
      </c>
      <c r="C10" s="5" t="n">
        <f aca="false">B10*Supuestos!$B$7</f>
        <v>2241</v>
      </c>
      <c r="D10" s="5" t="n">
        <f aca="false">-C10*Supuestos!$B$8</f>
        <v>-672.3</v>
      </c>
      <c r="E10" s="5" t="n">
        <f aca="false">-B10*Supuestos!$B$19*Supuestos!$B$18</f>
        <v>-7.74</v>
      </c>
      <c r="F10" s="16" t="n">
        <f aca="false">F9*(1-Supuestos!$B$14)+B10*Supuestos!$B$13</f>
        <v>3.264375</v>
      </c>
      <c r="G10" s="5" t="n">
        <f aca="false">F10*Supuestos!$B$9</f>
        <v>159.954375</v>
      </c>
      <c r="H10" s="5" t="n">
        <f aca="false">-F10*Supuestos!$B$39</f>
        <v>-18.0397197</v>
      </c>
      <c r="I10" s="5" t="n">
        <f aca="false">-F10*Supuestos!$B$40</f>
        <v>-8.568984375</v>
      </c>
      <c r="J10" s="5" t="n">
        <f aca="false">-Supuestos!$B$42</f>
        <v>-437.5</v>
      </c>
      <c r="K10" s="5" t="n">
        <f aca="false">0</f>
        <v>0</v>
      </c>
      <c r="L10" s="17" t="n">
        <f aca="false">C10+D10+E10+G10+H10+I10+J10+K10</f>
        <v>1256.805670925</v>
      </c>
      <c r="M10" s="5" t="n">
        <f aca="false">M9+L10</f>
        <v>-43514.037834575</v>
      </c>
      <c r="N10" s="5" t="n">
        <f aca="false">L10</f>
        <v>1256.805670925</v>
      </c>
      <c r="O10" s="5" t="n">
        <f aca="false">O9+N10</f>
        <v>7076.762165425</v>
      </c>
    </row>
    <row r="11" customFormat="false" ht="15" hidden="false" customHeight="false" outlineLevel="0" collapsed="false">
      <c r="A11" s="0" t="n">
        <v>5</v>
      </c>
      <c r="B11" s="16" t="n">
        <f aca="false">Supuestos!$B$32*Supuestos!$B$50</f>
        <v>9</v>
      </c>
      <c r="C11" s="5" t="n">
        <f aca="false">B11*Supuestos!$B$7</f>
        <v>2241</v>
      </c>
      <c r="D11" s="5" t="n">
        <f aca="false">-C11*Supuestos!$B$8</f>
        <v>-672.3</v>
      </c>
      <c r="E11" s="5" t="n">
        <f aca="false">-B11*Supuestos!$B$19*Supuestos!$B$18</f>
        <v>-7.74</v>
      </c>
      <c r="F11" s="16" t="n">
        <f aca="false">F10*(1-Supuestos!$B$14)+B11*Supuestos!$B$13</f>
        <v>3.02184375</v>
      </c>
      <c r="G11" s="5" t="n">
        <f aca="false">F11*Supuestos!$B$9</f>
        <v>148.07034375</v>
      </c>
      <c r="H11" s="5" t="n">
        <f aca="false">-F11*Supuestos!$B$39</f>
        <v>-16.699433805</v>
      </c>
      <c r="I11" s="5" t="n">
        <f aca="false">-F11*Supuestos!$B$40</f>
        <v>-7.93233984375</v>
      </c>
      <c r="J11" s="5" t="n">
        <f aca="false">-Supuestos!$B$42</f>
        <v>-437.5</v>
      </c>
      <c r="K11" s="5" t="n">
        <f aca="false">0</f>
        <v>0</v>
      </c>
      <c r="L11" s="17" t="n">
        <f aca="false">C11+D11+E11+G11+H11+I11+J11+K11</f>
        <v>1246.89857010125</v>
      </c>
      <c r="M11" s="5" t="n">
        <f aca="false">M10+L11</f>
        <v>-42267.1392644737</v>
      </c>
      <c r="N11" s="5" t="n">
        <f aca="false">L11</f>
        <v>1246.89857010125</v>
      </c>
      <c r="O11" s="5" t="n">
        <f aca="false">O10+N11</f>
        <v>8323.66073552625</v>
      </c>
    </row>
    <row r="12" customFormat="false" ht="15" hidden="false" customHeight="false" outlineLevel="0" collapsed="false">
      <c r="A12" s="0" t="n">
        <v>6</v>
      </c>
      <c r="B12" s="16" t="n">
        <f aca="false">Supuestos!$B$32*Supuestos!$B$51</f>
        <v>15</v>
      </c>
      <c r="C12" s="5" t="n">
        <f aca="false">B12*Supuestos!$B$7</f>
        <v>3735</v>
      </c>
      <c r="D12" s="5" t="n">
        <f aca="false">-C12*Supuestos!$B$8</f>
        <v>-1120.5</v>
      </c>
      <c r="E12" s="5" t="n">
        <f aca="false">-B12*Supuestos!$B$19*Supuestos!$B$18</f>
        <v>-12.9</v>
      </c>
      <c r="F12" s="16" t="n">
        <f aca="false">F11*(1-Supuestos!$B$14)+B12*Supuestos!$B$13</f>
        <v>3.4641984375</v>
      </c>
      <c r="G12" s="5" t="n">
        <f aca="false">F12*Supuestos!$B$9</f>
        <v>169.7457234375</v>
      </c>
      <c r="H12" s="5" t="n">
        <f aca="false">-F12*Supuestos!$B$39</f>
        <v>-19.14399197325</v>
      </c>
      <c r="I12" s="5" t="n">
        <f aca="false">-F12*Supuestos!$B$40</f>
        <v>-9.0935208984375</v>
      </c>
      <c r="J12" s="5" t="n">
        <f aca="false">-Supuestos!$B$42</f>
        <v>-437.5</v>
      </c>
      <c r="K12" s="5" t="n">
        <f aca="false">0</f>
        <v>0</v>
      </c>
      <c r="L12" s="17" t="n">
        <f aca="false">C12+D12+E12+G12+H12+I12+J12+K12</f>
        <v>2305.60821056581</v>
      </c>
      <c r="M12" s="5" t="n">
        <f aca="false">M11+L12</f>
        <v>-39961.5310539079</v>
      </c>
      <c r="N12" s="5" t="n">
        <f aca="false">L12</f>
        <v>2305.60821056581</v>
      </c>
      <c r="O12" s="5" t="n">
        <f aca="false">O11+N12</f>
        <v>10629.2689460921</v>
      </c>
    </row>
    <row r="13" customFormat="false" ht="15" hidden="false" customHeight="false" outlineLevel="0" collapsed="false">
      <c r="A13" s="0" t="n">
        <v>7</v>
      </c>
      <c r="B13" s="16" t="n">
        <f aca="false">Supuestos!$B$32*Supuestos!$B$52</f>
        <v>12</v>
      </c>
      <c r="C13" s="5" t="n">
        <f aca="false">B13*Supuestos!$B$7</f>
        <v>2988</v>
      </c>
      <c r="D13" s="5" t="n">
        <f aca="false">-C13*Supuestos!$B$8</f>
        <v>-896.4</v>
      </c>
      <c r="E13" s="5" t="n">
        <f aca="false">-B13*Supuestos!$B$19*Supuestos!$B$18</f>
        <v>-10.32</v>
      </c>
      <c r="F13" s="16" t="n">
        <f aca="false">F12*(1-Supuestos!$B$14)+B13*Supuestos!$B$13</f>
        <v>3.451728984375</v>
      </c>
      <c r="G13" s="5" t="n">
        <f aca="false">F13*Supuestos!$B$9</f>
        <v>169.134720234375</v>
      </c>
      <c r="H13" s="5" t="n">
        <f aca="false">-F13*Supuestos!$B$39</f>
        <v>-19.0750827826125</v>
      </c>
      <c r="I13" s="5" t="n">
        <f aca="false">-F13*Supuestos!$B$40</f>
        <v>-9.06078858398438</v>
      </c>
      <c r="J13" s="5" t="n">
        <f aca="false">-Supuestos!$B$42</f>
        <v>-437.5</v>
      </c>
      <c r="K13" s="5" t="n">
        <f aca="false">0</f>
        <v>0</v>
      </c>
      <c r="L13" s="17" t="n">
        <f aca="false">C13+D13+E13+G13+H13+I13+J13+K13</f>
        <v>1784.77884886778</v>
      </c>
      <c r="M13" s="5" t="n">
        <f aca="false">M12+L13</f>
        <v>-38176.7522050402</v>
      </c>
      <c r="N13" s="5" t="n">
        <f aca="false">L13</f>
        <v>1784.77884886778</v>
      </c>
      <c r="O13" s="5" t="n">
        <f aca="false">O12+N13</f>
        <v>12414.0477949598</v>
      </c>
    </row>
    <row r="14" customFormat="false" ht="15" hidden="false" customHeight="false" outlineLevel="0" collapsed="false">
      <c r="A14" s="0" t="n">
        <v>8</v>
      </c>
      <c r="B14" s="16" t="n">
        <f aca="false">Supuestos!$B$32*Supuestos!$B$53</f>
        <v>9</v>
      </c>
      <c r="C14" s="5" t="n">
        <f aca="false">B14*Supuestos!$B$7</f>
        <v>2241</v>
      </c>
      <c r="D14" s="5" t="n">
        <f aca="false">-C14*Supuestos!$B$8</f>
        <v>-672.3</v>
      </c>
      <c r="E14" s="5" t="n">
        <f aca="false">-B14*Supuestos!$B$19*Supuestos!$B$18</f>
        <v>-7.74</v>
      </c>
      <c r="F14" s="16" t="n">
        <f aca="false">F13*(1-Supuestos!$B$14)+B14*Supuestos!$B$13</f>
        <v>3.14362383984375</v>
      </c>
      <c r="G14" s="5" t="n">
        <f aca="false">F14*Supuestos!$B$9</f>
        <v>154.037568152344</v>
      </c>
      <c r="H14" s="5" t="n">
        <f aca="false">-F14*Supuestos!$B$39</f>
        <v>-17.3724198086981</v>
      </c>
      <c r="I14" s="5" t="n">
        <f aca="false">-F14*Supuestos!$B$40</f>
        <v>-8.25201257958985</v>
      </c>
      <c r="J14" s="5" t="n">
        <f aca="false">-Supuestos!$B$42</f>
        <v>-437.5</v>
      </c>
      <c r="K14" s="5" t="n">
        <f aca="false">0</f>
        <v>0</v>
      </c>
      <c r="L14" s="17" t="n">
        <f aca="false">C14+D14+E14+G14+H14+I14+J14+K14</f>
        <v>1251.87313576406</v>
      </c>
      <c r="M14" s="5" t="n">
        <f aca="false">M13+L14</f>
        <v>-36924.8790692761</v>
      </c>
      <c r="N14" s="5" t="n">
        <f aca="false">L14</f>
        <v>1251.87313576406</v>
      </c>
      <c r="O14" s="5" t="n">
        <f aca="false">O13+N14</f>
        <v>13665.9209307239</v>
      </c>
    </row>
    <row r="15" customFormat="false" ht="15" hidden="false" customHeight="false" outlineLevel="0" collapsed="false">
      <c r="A15" s="0" t="n">
        <v>9</v>
      </c>
      <c r="B15" s="16" t="n">
        <f aca="false">Supuestos!$B$32*Supuestos!$B$54</f>
        <v>7.5</v>
      </c>
      <c r="C15" s="5" t="n">
        <f aca="false">B15*Supuestos!$B$7</f>
        <v>1867.5</v>
      </c>
      <c r="D15" s="5" t="n">
        <f aca="false">-C15*Supuestos!$B$8</f>
        <v>-560.25</v>
      </c>
      <c r="E15" s="5" t="n">
        <f aca="false">-B15*Supuestos!$B$19*Supuestos!$B$18</f>
        <v>-6.45</v>
      </c>
      <c r="F15" s="16" t="n">
        <f aca="false">F14*(1-Supuestos!$B$14)+B15*Supuestos!$B$13</f>
        <v>2.79335549589844</v>
      </c>
      <c r="G15" s="5" t="n">
        <f aca="false">F15*Supuestos!$B$9</f>
        <v>136.874419299023</v>
      </c>
      <c r="H15" s="5" t="n">
        <f aca="false">-F15*Supuestos!$B$39</f>
        <v>-15.4367528756538</v>
      </c>
      <c r="I15" s="5" t="n">
        <f aca="false">-F15*Supuestos!$B$40</f>
        <v>-7.3325581767334</v>
      </c>
      <c r="J15" s="5" t="n">
        <f aca="false">-Supuestos!$B$42</f>
        <v>-437.5</v>
      </c>
      <c r="K15" s="5" t="n">
        <f aca="false">0</f>
        <v>0</v>
      </c>
      <c r="L15" s="17" t="n">
        <f aca="false">C15+D15+E15+G15+H15+I15+J15+K15</f>
        <v>977.405108246636</v>
      </c>
      <c r="M15" s="5" t="n">
        <f aca="false">M14+L15</f>
        <v>-35947.4739610295</v>
      </c>
      <c r="N15" s="5" t="n">
        <f aca="false">L15</f>
        <v>977.405108246636</v>
      </c>
      <c r="O15" s="5" t="n">
        <f aca="false">O14+N15</f>
        <v>14643.3260389705</v>
      </c>
    </row>
    <row r="16" customFormat="false" ht="15" hidden="false" customHeight="false" outlineLevel="0" collapsed="false">
      <c r="A16" s="0" t="n">
        <v>10</v>
      </c>
      <c r="B16" s="16" t="n">
        <f aca="false">Supuestos!$B$32*Supuestos!$B$55</f>
        <v>7.5</v>
      </c>
      <c r="C16" s="5" t="n">
        <f aca="false">B16*Supuestos!$B$7</f>
        <v>1867.5</v>
      </c>
      <c r="D16" s="5" t="n">
        <f aca="false">-C16*Supuestos!$B$8</f>
        <v>-560.25</v>
      </c>
      <c r="E16" s="5" t="n">
        <f aca="false">-B16*Supuestos!$B$19*Supuestos!$B$18</f>
        <v>-6.45</v>
      </c>
      <c r="F16" s="16" t="n">
        <f aca="false">F15*(1-Supuestos!$B$14)+B16*Supuestos!$B$13</f>
        <v>2.56568107233398</v>
      </c>
      <c r="G16" s="5" t="n">
        <f aca="false">F16*Supuestos!$B$9</f>
        <v>125.718372544365</v>
      </c>
      <c r="H16" s="5" t="n">
        <f aca="false">-F16*Supuestos!$B$39</f>
        <v>-14.178569369175</v>
      </c>
      <c r="I16" s="5" t="n">
        <f aca="false">-F16*Supuestos!$B$40</f>
        <v>-6.73491281487671</v>
      </c>
      <c r="J16" s="5" t="n">
        <f aca="false">-Supuestos!$B$42</f>
        <v>-437.5</v>
      </c>
      <c r="K16" s="5" t="n">
        <f aca="false">0</f>
        <v>0</v>
      </c>
      <c r="L16" s="17" t="n">
        <f aca="false">C16+D16+E16+G16+H16+I16+J16+K16</f>
        <v>968.104890360314</v>
      </c>
      <c r="M16" s="5" t="n">
        <f aca="false">M15+L16</f>
        <v>-34979.3690706691</v>
      </c>
      <c r="N16" s="5" t="n">
        <f aca="false">L16</f>
        <v>968.104890360314</v>
      </c>
      <c r="O16" s="5" t="n">
        <f aca="false">O15+N16</f>
        <v>15611.4309293308</v>
      </c>
    </row>
    <row r="17" customFormat="false" ht="15" hidden="false" customHeight="false" outlineLevel="0" collapsed="false">
      <c r="A17" s="0" t="n">
        <v>11</v>
      </c>
      <c r="B17" s="16" t="n">
        <f aca="false">Supuestos!$B$32*Supuestos!$B$56</f>
        <v>9</v>
      </c>
      <c r="C17" s="5" t="n">
        <f aca="false">B17*Supuestos!$B$7</f>
        <v>2241</v>
      </c>
      <c r="D17" s="5" t="n">
        <f aca="false">-C17*Supuestos!$B$8</f>
        <v>-672.3</v>
      </c>
      <c r="E17" s="5" t="n">
        <f aca="false">-B17*Supuestos!$B$19*Supuestos!$B$18</f>
        <v>-7.74</v>
      </c>
      <c r="F17" s="16" t="n">
        <f aca="false">F16*(1-Supuestos!$B$14)+B17*Supuestos!$B$13</f>
        <v>2.56769269701709</v>
      </c>
      <c r="G17" s="5" t="n">
        <f aca="false">F17*Supuestos!$B$9</f>
        <v>125.816942153837</v>
      </c>
      <c r="H17" s="5" t="n">
        <f aca="false">-F17*Supuestos!$B$39</f>
        <v>-14.1896860899637</v>
      </c>
      <c r="I17" s="5" t="n">
        <f aca="false">-F17*Supuestos!$B$40</f>
        <v>-6.74019332966986</v>
      </c>
      <c r="J17" s="5" t="n">
        <f aca="false">-Supuestos!$B$42</f>
        <v>-437.5</v>
      </c>
      <c r="K17" s="5" t="n">
        <f aca="false">0</f>
        <v>0</v>
      </c>
      <c r="L17" s="17" t="n">
        <f aca="false">C17+D17+E17+G17+H17+I17+J17+K17</f>
        <v>1228.3470627342</v>
      </c>
      <c r="M17" s="5" t="n">
        <f aca="false">M16+L17</f>
        <v>-33751.0220079349</v>
      </c>
      <c r="N17" s="5" t="n">
        <f aca="false">L17</f>
        <v>1228.3470627342</v>
      </c>
      <c r="O17" s="5" t="n">
        <f aca="false">O16+N17</f>
        <v>16839.7779920651</v>
      </c>
    </row>
    <row r="18" customFormat="false" ht="15" hidden="false" customHeight="false" outlineLevel="0" collapsed="false">
      <c r="A18" s="0" t="n">
        <v>12</v>
      </c>
      <c r="B18" s="16" t="n">
        <f aca="false">Supuestos!$B$32*Supuestos!$B$57</f>
        <v>12</v>
      </c>
      <c r="C18" s="5" t="n">
        <f aca="false">B18*Supuestos!$B$7</f>
        <v>2988</v>
      </c>
      <c r="D18" s="5" t="n">
        <f aca="false">-C18*Supuestos!$B$8</f>
        <v>-896.4</v>
      </c>
      <c r="E18" s="5" t="n">
        <f aca="false">-B18*Supuestos!$B$19*Supuestos!$B$18</f>
        <v>-10.32</v>
      </c>
      <c r="F18" s="16" t="n">
        <f aca="false">F17*(1-Supuestos!$B$14)+B18*Supuestos!$B$13</f>
        <v>2.86900025306111</v>
      </c>
      <c r="G18" s="5" t="n">
        <f aca="false">F18*Supuestos!$B$9</f>
        <v>140.581012399994</v>
      </c>
      <c r="H18" s="5" t="n">
        <f aca="false">-F18*Supuestos!$B$39</f>
        <v>-15.8547839584764</v>
      </c>
      <c r="I18" s="5" t="n">
        <f aca="false">-F18*Supuestos!$B$40</f>
        <v>-7.53112566428541</v>
      </c>
      <c r="J18" s="5" t="n">
        <f aca="false">-Supuestos!$B$42</f>
        <v>-437.5</v>
      </c>
      <c r="K18" s="5" t="n">
        <f aca="false">0</f>
        <v>0</v>
      </c>
      <c r="L18" s="17" t="n">
        <f aca="false">C18+D18+E18+G18+H18+I18+J18+K18</f>
        <v>1760.97510277723</v>
      </c>
      <c r="M18" s="5" t="n">
        <f aca="false">M17+L18</f>
        <v>-31990.0469051577</v>
      </c>
      <c r="N18" s="5" t="n">
        <f aca="false">L18</f>
        <v>1760.97510277723</v>
      </c>
      <c r="O18" s="5" t="n">
        <f aca="false">O17+N18</f>
        <v>18600.7530948423</v>
      </c>
    </row>
    <row r="19" customFormat="false" ht="15" hidden="false" customHeight="false" outlineLevel="0" collapsed="false">
      <c r="A19" s="12" t="s">
        <v>249</v>
      </c>
      <c r="C19" s="18" t="n">
        <f aca="false">NPV(Supuestos!$B$37,L7:L18)+L6</f>
        <v>-33289.1012056941</v>
      </c>
      <c r="E19" s="12" t="s">
        <v>250</v>
      </c>
      <c r="G19" s="18" t="n">
        <f aca="false">NPV(Supuestos!$B$37,N7:N18)+N6</f>
        <v>17301.6987943059</v>
      </c>
      <c r="I19" s="12" t="s">
        <v>251</v>
      </c>
      <c r="K19" s="19" t="str">
        <f aca="false">IF(SUM(L6:L18)&lt;0,"no se recupera",IFERROR(IRR(L6:L18),"no hay"))</f>
        <v>no se recupera</v>
      </c>
    </row>
    <row r="20" customFormat="false" ht="15" hidden="false" customHeight="false" outlineLevel="0" collapsed="false">
      <c r="A20" s="12" t="s">
        <v>252</v>
      </c>
      <c r="C20" s="0" t="str">
        <f aca="false">IFERROR(INDEX(A6:A18,MATCH(1,INDEX(--(M6:M18&gt;=0),0),0)),"no en 12 meses")</f>
        <v>no en 12 meses</v>
      </c>
      <c r="E20" s="12" t="s">
        <v>253</v>
      </c>
      <c r="G20" s="7" t="n">
        <f aca="false">IFERROR(INDEX(A6:A18,MATCH(1,INDEX(--(O6:O18&gt;=0),0),0)),"no en 12 meses")</f>
        <v>1</v>
      </c>
      <c r="I20" s="12" t="s">
        <v>254</v>
      </c>
      <c r="K20" s="5" t="n">
        <f aca="false">SUM(C6:C18)+SUM(G6:G18)</f>
        <v>39188.9209769714</v>
      </c>
    </row>
    <row r="23" customFormat="false" ht="15" hidden="false" customHeight="false" outlineLevel="0" collapsed="false">
      <c r="A23" s="12" t="str">
        <f aca="false">"MVP · escenario base — copias en el año 1: "&amp;TEXT(Supuestos!$B$33,"#,##0")</f>
        <v>MVP · escenario base — copias en el año 1: 400</v>
      </c>
    </row>
    <row r="24" customFormat="false" ht="41.75" hidden="false" customHeight="false" outlineLevel="0" collapsed="false">
      <c r="A24" s="2" t="s">
        <v>234</v>
      </c>
      <c r="B24" s="2" t="s">
        <v>235</v>
      </c>
      <c r="C24" s="2" t="s">
        <v>236</v>
      </c>
      <c r="D24" s="2" t="s">
        <v>237</v>
      </c>
      <c r="E24" s="2" t="s">
        <v>238</v>
      </c>
      <c r="F24" s="2" t="s">
        <v>239</v>
      </c>
      <c r="G24" s="2" t="s">
        <v>240</v>
      </c>
      <c r="H24" s="2" t="s">
        <v>241</v>
      </c>
      <c r="I24" s="2" t="s">
        <v>242</v>
      </c>
      <c r="J24" s="2" t="s">
        <v>243</v>
      </c>
      <c r="K24" s="2" t="s">
        <v>244</v>
      </c>
      <c r="L24" s="2" t="s">
        <v>245</v>
      </c>
      <c r="M24" s="2" t="s">
        <v>246</v>
      </c>
      <c r="N24" s="2" t="s">
        <v>247</v>
      </c>
      <c r="O24" s="2" t="s">
        <v>248</v>
      </c>
    </row>
    <row r="25" customFormat="false" ht="15" hidden="false" customHeight="false" outlineLevel="0" collapsed="false">
      <c r="A25" s="0" t="n">
        <v>0</v>
      </c>
      <c r="B25" s="16" t="n">
        <f aca="false">0</f>
        <v>0</v>
      </c>
      <c r="C25" s="5" t="n">
        <f aca="false">B25*Supuestos!$B$7</f>
        <v>0</v>
      </c>
      <c r="D25" s="5" t="n">
        <f aca="false">-C25*Supuestos!$B$8</f>
        <v>-0</v>
      </c>
      <c r="E25" s="5" t="n">
        <f aca="false">-B25*Supuestos!$B$19*Supuestos!$B$18</f>
        <v>-0</v>
      </c>
      <c r="F25" s="16" t="n">
        <f aca="false">0</f>
        <v>0</v>
      </c>
      <c r="G25" s="5" t="n">
        <f aca="false">F25*Supuestos!$B$9</f>
        <v>0</v>
      </c>
      <c r="H25" s="5" t="n">
        <f aca="false">-F25*Supuestos!$B$39</f>
        <v>-0</v>
      </c>
      <c r="I25" s="5" t="n">
        <f aca="false">-F25*Supuestos!$B$40</f>
        <v>-0</v>
      </c>
      <c r="J25" s="5" t="n">
        <f aca="false">0</f>
        <v>0</v>
      </c>
      <c r="K25" s="5" t="n">
        <f aca="false">-(Supuestos!$B$21+Supuestos!$B$41)</f>
        <v>-54289.06</v>
      </c>
      <c r="L25" s="17" t="n">
        <f aca="false">C25+D25+E25+G25+H25+I25+J25+K25</f>
        <v>-54289.06</v>
      </c>
      <c r="M25" s="5" t="n">
        <f aca="false">L25</f>
        <v>-54289.06</v>
      </c>
      <c r="N25" s="5" t="n">
        <f aca="false">L25-K25-(Supuestos!$B$41+Supuestos!$B$23)</f>
        <v>-3698.26</v>
      </c>
      <c r="O25" s="5" t="n">
        <f aca="false">N25</f>
        <v>-3698.26</v>
      </c>
    </row>
    <row r="26" customFormat="false" ht="15" hidden="false" customHeight="false" outlineLevel="0" collapsed="false">
      <c r="A26" s="0" t="n">
        <v>1</v>
      </c>
      <c r="B26" s="16" t="n">
        <f aca="false">Supuestos!$B$33*Supuestos!$B$46</f>
        <v>80</v>
      </c>
      <c r="C26" s="5" t="n">
        <f aca="false">B26*Supuestos!$B$7</f>
        <v>19920</v>
      </c>
      <c r="D26" s="5" t="n">
        <f aca="false">-C26*Supuestos!$B$8</f>
        <v>-5976</v>
      </c>
      <c r="E26" s="5" t="n">
        <f aca="false">-B26*Supuestos!$B$19*Supuestos!$B$18</f>
        <v>-68.8</v>
      </c>
      <c r="F26" s="16" t="n">
        <f aca="false">F25*(1-Supuestos!$B$14)+B26*Supuestos!$B$13</f>
        <v>8</v>
      </c>
      <c r="G26" s="5" t="n">
        <f aca="false">F26*Supuestos!$B$9</f>
        <v>392</v>
      </c>
      <c r="H26" s="5" t="n">
        <f aca="false">-F26*Supuestos!$B$39</f>
        <v>-44.20992</v>
      </c>
      <c r="I26" s="5" t="n">
        <f aca="false">-F26*Supuestos!$B$40</f>
        <v>-21</v>
      </c>
      <c r="J26" s="5" t="n">
        <f aca="false">-Supuestos!$B$42</f>
        <v>-437.5</v>
      </c>
      <c r="K26" s="5" t="n">
        <f aca="false">0</f>
        <v>0</v>
      </c>
      <c r="L26" s="17" t="n">
        <f aca="false">C26+D26+E26+G26+H26+I26+J26+K26</f>
        <v>13764.49008</v>
      </c>
      <c r="M26" s="5" t="n">
        <f aca="false">M25+L26</f>
        <v>-40524.56992</v>
      </c>
      <c r="N26" s="5" t="n">
        <f aca="false">L26</f>
        <v>13764.49008</v>
      </c>
      <c r="O26" s="5" t="n">
        <f aca="false">O25+N26</f>
        <v>10066.23008</v>
      </c>
    </row>
    <row r="27" customFormat="false" ht="15" hidden="false" customHeight="false" outlineLevel="0" collapsed="false">
      <c r="A27" s="0" t="n">
        <v>2</v>
      </c>
      <c r="B27" s="16" t="n">
        <f aca="false">Supuestos!$B$33*Supuestos!$B$47</f>
        <v>48</v>
      </c>
      <c r="C27" s="5" t="n">
        <f aca="false">B27*Supuestos!$B$7</f>
        <v>11952</v>
      </c>
      <c r="D27" s="5" t="n">
        <f aca="false">-C27*Supuestos!$B$8</f>
        <v>-3585.6</v>
      </c>
      <c r="E27" s="5" t="n">
        <f aca="false">-B27*Supuestos!$B$19*Supuestos!$B$18</f>
        <v>-41.28</v>
      </c>
      <c r="F27" s="16" t="n">
        <f aca="false">F26*(1-Supuestos!$B$14)+B27*Supuestos!$B$13</f>
        <v>10</v>
      </c>
      <c r="G27" s="5" t="n">
        <f aca="false">F27*Supuestos!$B$9</f>
        <v>490</v>
      </c>
      <c r="H27" s="5" t="n">
        <f aca="false">-F27*Supuestos!$B$39</f>
        <v>-55.2624</v>
      </c>
      <c r="I27" s="5" t="n">
        <f aca="false">-F27*Supuestos!$B$40</f>
        <v>-26.25</v>
      </c>
      <c r="J27" s="5" t="n">
        <f aca="false">-Supuestos!$B$42</f>
        <v>-437.5</v>
      </c>
      <c r="K27" s="5" t="n">
        <f aca="false">0</f>
        <v>0</v>
      </c>
      <c r="L27" s="17" t="n">
        <f aca="false">C27+D27+E27+G27+H27+I27+J27+K27</f>
        <v>8296.1076</v>
      </c>
      <c r="M27" s="5" t="n">
        <f aca="false">M26+L27</f>
        <v>-32228.46232</v>
      </c>
      <c r="N27" s="5" t="n">
        <f aca="false">L27</f>
        <v>8296.1076</v>
      </c>
      <c r="O27" s="5" t="n">
        <f aca="false">O26+N27</f>
        <v>18362.33768</v>
      </c>
    </row>
    <row r="28" customFormat="false" ht="15" hidden="false" customHeight="false" outlineLevel="0" collapsed="false">
      <c r="A28" s="0" t="n">
        <v>3</v>
      </c>
      <c r="B28" s="16" t="n">
        <f aca="false">Supuestos!$B$33*Supuestos!$B$48</f>
        <v>32</v>
      </c>
      <c r="C28" s="5" t="n">
        <f aca="false">B28*Supuestos!$B$7</f>
        <v>7968</v>
      </c>
      <c r="D28" s="5" t="n">
        <f aca="false">-C28*Supuestos!$B$8</f>
        <v>-2390.4</v>
      </c>
      <c r="E28" s="5" t="n">
        <f aca="false">-B28*Supuestos!$B$19*Supuestos!$B$18</f>
        <v>-27.52</v>
      </c>
      <c r="F28" s="16" t="n">
        <f aca="false">F27*(1-Supuestos!$B$14)+B28*Supuestos!$B$13</f>
        <v>9.7</v>
      </c>
      <c r="G28" s="5" t="n">
        <f aca="false">F28*Supuestos!$B$9</f>
        <v>475.3</v>
      </c>
      <c r="H28" s="5" t="n">
        <f aca="false">-F28*Supuestos!$B$39</f>
        <v>-53.604528</v>
      </c>
      <c r="I28" s="5" t="n">
        <f aca="false">-F28*Supuestos!$B$40</f>
        <v>-25.4625</v>
      </c>
      <c r="J28" s="5" t="n">
        <f aca="false">-Supuestos!$B$42</f>
        <v>-437.5</v>
      </c>
      <c r="K28" s="5" t="n">
        <f aca="false">0</f>
        <v>0</v>
      </c>
      <c r="L28" s="17" t="n">
        <f aca="false">C28+D28+E28+G28+H28+I28+J28+K28</f>
        <v>5508.812972</v>
      </c>
      <c r="M28" s="5" t="n">
        <f aca="false">M27+L28</f>
        <v>-26719.649348</v>
      </c>
      <c r="N28" s="5" t="n">
        <f aca="false">L28</f>
        <v>5508.812972</v>
      </c>
      <c r="O28" s="5" t="n">
        <f aca="false">O27+N28</f>
        <v>23871.150652</v>
      </c>
    </row>
    <row r="29" customFormat="false" ht="15" hidden="false" customHeight="false" outlineLevel="0" collapsed="false">
      <c r="A29" s="0" t="n">
        <v>4</v>
      </c>
      <c r="B29" s="16" t="n">
        <f aca="false">Supuestos!$B$33*Supuestos!$B$49</f>
        <v>24</v>
      </c>
      <c r="C29" s="5" t="n">
        <f aca="false">B29*Supuestos!$B$7</f>
        <v>5976</v>
      </c>
      <c r="D29" s="5" t="n">
        <f aca="false">-C29*Supuestos!$B$8</f>
        <v>-1792.8</v>
      </c>
      <c r="E29" s="5" t="n">
        <f aca="false">-B29*Supuestos!$B$19*Supuestos!$B$18</f>
        <v>-20.64</v>
      </c>
      <c r="F29" s="16" t="n">
        <f aca="false">F28*(1-Supuestos!$B$14)+B29*Supuestos!$B$13</f>
        <v>8.705</v>
      </c>
      <c r="G29" s="5" t="n">
        <f aca="false">F29*Supuestos!$B$9</f>
        <v>426.545</v>
      </c>
      <c r="H29" s="5" t="n">
        <f aca="false">-F29*Supuestos!$B$39</f>
        <v>-48.1059192</v>
      </c>
      <c r="I29" s="5" t="n">
        <f aca="false">-F29*Supuestos!$B$40</f>
        <v>-22.850625</v>
      </c>
      <c r="J29" s="5" t="n">
        <f aca="false">-Supuestos!$B$42</f>
        <v>-437.5</v>
      </c>
      <c r="K29" s="5" t="n">
        <f aca="false">0</f>
        <v>0</v>
      </c>
      <c r="L29" s="17" t="n">
        <f aca="false">C29+D29+E29+G29+H29+I29+J29+K29</f>
        <v>4080.6484558</v>
      </c>
      <c r="M29" s="5" t="n">
        <f aca="false">M28+L29</f>
        <v>-22639.0008922</v>
      </c>
      <c r="N29" s="5" t="n">
        <f aca="false">L29</f>
        <v>4080.6484558</v>
      </c>
      <c r="O29" s="5" t="n">
        <f aca="false">O28+N29</f>
        <v>27951.7991078</v>
      </c>
    </row>
    <row r="30" customFormat="false" ht="15" hidden="false" customHeight="false" outlineLevel="0" collapsed="false">
      <c r="A30" s="0" t="n">
        <v>5</v>
      </c>
      <c r="B30" s="16" t="n">
        <f aca="false">Supuestos!$B$33*Supuestos!$B$50</f>
        <v>24</v>
      </c>
      <c r="C30" s="5" t="n">
        <f aca="false">B30*Supuestos!$B$7</f>
        <v>5976</v>
      </c>
      <c r="D30" s="5" t="n">
        <f aca="false">-C30*Supuestos!$B$8</f>
        <v>-1792.8</v>
      </c>
      <c r="E30" s="5" t="n">
        <f aca="false">-B30*Supuestos!$B$19*Supuestos!$B$18</f>
        <v>-20.64</v>
      </c>
      <c r="F30" s="16" t="n">
        <f aca="false">F29*(1-Supuestos!$B$14)+B30*Supuestos!$B$13</f>
        <v>8.05825</v>
      </c>
      <c r="G30" s="5" t="n">
        <f aca="false">F30*Supuestos!$B$9</f>
        <v>394.85425</v>
      </c>
      <c r="H30" s="5" t="n">
        <f aca="false">-F30*Supuestos!$B$39</f>
        <v>-44.53182348</v>
      </c>
      <c r="I30" s="5" t="n">
        <f aca="false">-F30*Supuestos!$B$40</f>
        <v>-21.15290625</v>
      </c>
      <c r="J30" s="5" t="n">
        <f aca="false">-Supuestos!$B$42</f>
        <v>-437.5</v>
      </c>
      <c r="K30" s="5" t="n">
        <f aca="false">0</f>
        <v>0</v>
      </c>
      <c r="L30" s="17" t="n">
        <f aca="false">C30+D30+E30+G30+H30+I30+J30+K30</f>
        <v>4054.22952027</v>
      </c>
      <c r="M30" s="5" t="n">
        <f aca="false">M29+L30</f>
        <v>-18584.77137193</v>
      </c>
      <c r="N30" s="5" t="n">
        <f aca="false">L30</f>
        <v>4054.22952027</v>
      </c>
      <c r="O30" s="5" t="n">
        <f aca="false">O29+N30</f>
        <v>32006.02862807</v>
      </c>
    </row>
    <row r="31" customFormat="false" ht="15" hidden="false" customHeight="false" outlineLevel="0" collapsed="false">
      <c r="A31" s="0" t="n">
        <v>6</v>
      </c>
      <c r="B31" s="16" t="n">
        <f aca="false">Supuestos!$B$33*Supuestos!$B$51</f>
        <v>40</v>
      </c>
      <c r="C31" s="5" t="n">
        <f aca="false">B31*Supuestos!$B$7</f>
        <v>9960</v>
      </c>
      <c r="D31" s="5" t="n">
        <f aca="false">-C31*Supuestos!$B$8</f>
        <v>-2988</v>
      </c>
      <c r="E31" s="5" t="n">
        <f aca="false">-B31*Supuestos!$B$19*Supuestos!$B$18</f>
        <v>-34.4</v>
      </c>
      <c r="F31" s="16" t="n">
        <f aca="false">F30*(1-Supuestos!$B$14)+B31*Supuestos!$B$13</f>
        <v>9.2378625</v>
      </c>
      <c r="G31" s="5" t="n">
        <f aca="false">F31*Supuestos!$B$9</f>
        <v>452.6552625</v>
      </c>
      <c r="H31" s="5" t="n">
        <f aca="false">-F31*Supuestos!$B$39</f>
        <v>-51.050645262</v>
      </c>
      <c r="I31" s="5" t="n">
        <f aca="false">-F31*Supuestos!$B$40</f>
        <v>-24.2493890625</v>
      </c>
      <c r="J31" s="5" t="n">
        <f aca="false">-Supuestos!$B$42</f>
        <v>-437.5</v>
      </c>
      <c r="K31" s="5" t="n">
        <f aca="false">0</f>
        <v>0</v>
      </c>
      <c r="L31" s="17" t="n">
        <f aca="false">C31+D31+E31+G31+H31+I31+J31+K31</f>
        <v>6877.4552281755</v>
      </c>
      <c r="M31" s="5" t="n">
        <f aca="false">M30+L31</f>
        <v>-11707.3161437545</v>
      </c>
      <c r="N31" s="5" t="n">
        <f aca="false">L31</f>
        <v>6877.4552281755</v>
      </c>
      <c r="O31" s="5" t="n">
        <f aca="false">O30+N31</f>
        <v>38883.4838562455</v>
      </c>
    </row>
    <row r="32" customFormat="false" ht="15" hidden="false" customHeight="false" outlineLevel="0" collapsed="false">
      <c r="A32" s="0" t="n">
        <v>7</v>
      </c>
      <c r="B32" s="16" t="n">
        <f aca="false">Supuestos!$B$33*Supuestos!$B$52</f>
        <v>32</v>
      </c>
      <c r="C32" s="5" t="n">
        <f aca="false">B32*Supuestos!$B$7</f>
        <v>7968</v>
      </c>
      <c r="D32" s="5" t="n">
        <f aca="false">-C32*Supuestos!$B$8</f>
        <v>-2390.4</v>
      </c>
      <c r="E32" s="5" t="n">
        <f aca="false">-B32*Supuestos!$B$19*Supuestos!$B$18</f>
        <v>-27.52</v>
      </c>
      <c r="F32" s="16" t="n">
        <f aca="false">F31*(1-Supuestos!$B$14)+B32*Supuestos!$B$13</f>
        <v>9.204610625</v>
      </c>
      <c r="G32" s="5" t="n">
        <f aca="false">F32*Supuestos!$B$9</f>
        <v>451.025920625</v>
      </c>
      <c r="H32" s="5" t="n">
        <f aca="false">-F32*Supuestos!$B$39</f>
        <v>-50.8668874203</v>
      </c>
      <c r="I32" s="5" t="n">
        <f aca="false">-F32*Supuestos!$B$40</f>
        <v>-24.162102890625</v>
      </c>
      <c r="J32" s="5" t="n">
        <f aca="false">-Supuestos!$B$42</f>
        <v>-437.5</v>
      </c>
      <c r="K32" s="5" t="n">
        <f aca="false">0</f>
        <v>0</v>
      </c>
      <c r="L32" s="17" t="n">
        <f aca="false">C32+D32+E32+G32+H32+I32+J32+K32</f>
        <v>5488.57693031408</v>
      </c>
      <c r="M32" s="5" t="n">
        <f aca="false">M31+L32</f>
        <v>-6218.73921344042</v>
      </c>
      <c r="N32" s="5" t="n">
        <f aca="false">L32</f>
        <v>5488.57693031408</v>
      </c>
      <c r="O32" s="5" t="n">
        <f aca="false">O31+N32</f>
        <v>44372.0607865596</v>
      </c>
    </row>
    <row r="33" customFormat="false" ht="15" hidden="false" customHeight="false" outlineLevel="0" collapsed="false">
      <c r="A33" s="0" t="n">
        <v>8</v>
      </c>
      <c r="B33" s="16" t="n">
        <f aca="false">Supuestos!$B$33*Supuestos!$B$53</f>
        <v>24</v>
      </c>
      <c r="C33" s="5" t="n">
        <f aca="false">B33*Supuestos!$B$7</f>
        <v>5976</v>
      </c>
      <c r="D33" s="5" t="n">
        <f aca="false">-C33*Supuestos!$B$8</f>
        <v>-1792.8</v>
      </c>
      <c r="E33" s="5" t="n">
        <f aca="false">-B33*Supuestos!$B$19*Supuestos!$B$18</f>
        <v>-20.64</v>
      </c>
      <c r="F33" s="16" t="n">
        <f aca="false">F32*(1-Supuestos!$B$14)+B33*Supuestos!$B$13</f>
        <v>8.38299690625</v>
      </c>
      <c r="G33" s="5" t="n">
        <f aca="false">F33*Supuestos!$B$9</f>
        <v>410.76684840625</v>
      </c>
      <c r="H33" s="5" t="n">
        <f aca="false">-F33*Supuestos!$B$39</f>
        <v>-46.326452823195</v>
      </c>
      <c r="I33" s="5" t="n">
        <f aca="false">-F33*Supuestos!$B$40</f>
        <v>-22.0053668789063</v>
      </c>
      <c r="J33" s="5" t="n">
        <f aca="false">-Supuestos!$B$42</f>
        <v>-437.5</v>
      </c>
      <c r="K33" s="5" t="n">
        <f aca="false">0</f>
        <v>0</v>
      </c>
      <c r="L33" s="17" t="n">
        <f aca="false">C33+D33+E33+G33+H33+I33+J33+K33</f>
        <v>4067.49502870415</v>
      </c>
      <c r="M33" s="5" t="n">
        <f aca="false">M32+L33</f>
        <v>-2151.24418473627</v>
      </c>
      <c r="N33" s="5" t="n">
        <f aca="false">L33</f>
        <v>4067.49502870415</v>
      </c>
      <c r="O33" s="5" t="n">
        <f aca="false">O32+N33</f>
        <v>48439.5558152637</v>
      </c>
    </row>
    <row r="34" customFormat="false" ht="15" hidden="false" customHeight="false" outlineLevel="0" collapsed="false">
      <c r="A34" s="0" t="n">
        <v>9</v>
      </c>
      <c r="B34" s="16" t="n">
        <f aca="false">Supuestos!$B$33*Supuestos!$B$54</f>
        <v>20</v>
      </c>
      <c r="C34" s="5" t="n">
        <f aca="false">B34*Supuestos!$B$7</f>
        <v>4980</v>
      </c>
      <c r="D34" s="5" t="n">
        <f aca="false">-C34*Supuestos!$B$8</f>
        <v>-1494</v>
      </c>
      <c r="E34" s="5" t="n">
        <f aca="false">-B34*Supuestos!$B$19*Supuestos!$B$18</f>
        <v>-17.2</v>
      </c>
      <c r="F34" s="16" t="n">
        <f aca="false">F33*(1-Supuestos!$B$14)+B34*Supuestos!$B$13</f>
        <v>7.4489479890625</v>
      </c>
      <c r="G34" s="5" t="n">
        <f aca="false">F34*Supuestos!$B$9</f>
        <v>364.998451464063</v>
      </c>
      <c r="H34" s="5" t="n">
        <f aca="false">-F34*Supuestos!$B$39</f>
        <v>-41.1646743350767</v>
      </c>
      <c r="I34" s="5" t="n">
        <f aca="false">-F34*Supuestos!$B$40</f>
        <v>-19.5534884712891</v>
      </c>
      <c r="J34" s="5" t="n">
        <f aca="false">-Supuestos!$B$42</f>
        <v>-437.5</v>
      </c>
      <c r="K34" s="5" t="n">
        <f aca="false">0</f>
        <v>0</v>
      </c>
      <c r="L34" s="17" t="n">
        <f aca="false">C34+D34+E34+G34+H34+I34+J34+K34</f>
        <v>3335.5802886577</v>
      </c>
      <c r="M34" s="5" t="n">
        <f aca="false">M33+L34</f>
        <v>1184.33610392142</v>
      </c>
      <c r="N34" s="5" t="n">
        <f aca="false">L34</f>
        <v>3335.5802886577</v>
      </c>
      <c r="O34" s="5" t="n">
        <f aca="false">O33+N34</f>
        <v>51775.1361039214</v>
      </c>
    </row>
    <row r="35" customFormat="false" ht="15" hidden="false" customHeight="false" outlineLevel="0" collapsed="false">
      <c r="A35" s="0" t="n">
        <v>10</v>
      </c>
      <c r="B35" s="16" t="n">
        <f aca="false">Supuestos!$B$33*Supuestos!$B$55</f>
        <v>20</v>
      </c>
      <c r="C35" s="5" t="n">
        <f aca="false">B35*Supuestos!$B$7</f>
        <v>4980</v>
      </c>
      <c r="D35" s="5" t="n">
        <f aca="false">-C35*Supuestos!$B$8</f>
        <v>-1494</v>
      </c>
      <c r="E35" s="5" t="n">
        <f aca="false">-B35*Supuestos!$B$19*Supuestos!$B$18</f>
        <v>-17.2</v>
      </c>
      <c r="F35" s="16" t="n">
        <f aca="false">F34*(1-Supuestos!$B$14)+B35*Supuestos!$B$13</f>
        <v>6.84181619289063</v>
      </c>
      <c r="G35" s="5" t="n">
        <f aca="false">F35*Supuestos!$B$9</f>
        <v>335.248993451641</v>
      </c>
      <c r="H35" s="5" t="n">
        <f aca="false">-F35*Supuestos!$B$39</f>
        <v>-37.8095183177999</v>
      </c>
      <c r="I35" s="5" t="n">
        <f aca="false">-F35*Supuestos!$B$40</f>
        <v>-17.9597675063379</v>
      </c>
      <c r="J35" s="5" t="n">
        <f aca="false">-Supuestos!$B$42</f>
        <v>-437.5</v>
      </c>
      <c r="K35" s="5" t="n">
        <f aca="false">0</f>
        <v>0</v>
      </c>
      <c r="L35" s="17" t="n">
        <f aca="false">C35+D35+E35+G35+H35+I35+J35+K35</f>
        <v>3310.7797076275</v>
      </c>
      <c r="M35" s="5" t="n">
        <f aca="false">M34+L35</f>
        <v>4495.11581154893</v>
      </c>
      <c r="N35" s="5" t="n">
        <f aca="false">L35</f>
        <v>3310.7797076275</v>
      </c>
      <c r="O35" s="5" t="n">
        <f aca="false">O34+N35</f>
        <v>55085.9158115489</v>
      </c>
    </row>
    <row r="36" customFormat="false" ht="15" hidden="false" customHeight="false" outlineLevel="0" collapsed="false">
      <c r="A36" s="0" t="n">
        <v>11</v>
      </c>
      <c r="B36" s="16" t="n">
        <f aca="false">Supuestos!$B$33*Supuestos!$B$56</f>
        <v>24</v>
      </c>
      <c r="C36" s="5" t="n">
        <f aca="false">B36*Supuestos!$B$7</f>
        <v>5976</v>
      </c>
      <c r="D36" s="5" t="n">
        <f aca="false">-C36*Supuestos!$B$8</f>
        <v>-1792.8</v>
      </c>
      <c r="E36" s="5" t="n">
        <f aca="false">-B36*Supuestos!$B$19*Supuestos!$B$18</f>
        <v>-20.64</v>
      </c>
      <c r="F36" s="16" t="n">
        <f aca="false">F35*(1-Supuestos!$B$14)+B36*Supuestos!$B$13</f>
        <v>6.84718052537891</v>
      </c>
      <c r="G36" s="5" t="n">
        <f aca="false">F36*Supuestos!$B$9</f>
        <v>335.511845743566</v>
      </c>
      <c r="H36" s="5" t="n">
        <f aca="false">-F36*Supuestos!$B$39</f>
        <v>-37.8391629065699</v>
      </c>
      <c r="I36" s="5" t="n">
        <f aca="false">-F36*Supuestos!$B$40</f>
        <v>-17.9738488791196</v>
      </c>
      <c r="J36" s="5" t="n">
        <f aca="false">-Supuestos!$B$42</f>
        <v>-437.5</v>
      </c>
      <c r="K36" s="5" t="n">
        <f aca="false">0</f>
        <v>0</v>
      </c>
      <c r="L36" s="17" t="n">
        <f aca="false">C36+D36+E36+G36+H36+I36+J36+K36</f>
        <v>4004.75883395788</v>
      </c>
      <c r="M36" s="5" t="n">
        <f aca="false">M35+L36</f>
        <v>8499.8746455068</v>
      </c>
      <c r="N36" s="5" t="n">
        <f aca="false">L36</f>
        <v>4004.75883395788</v>
      </c>
      <c r="O36" s="5" t="n">
        <f aca="false">O35+N36</f>
        <v>59090.6746455068</v>
      </c>
    </row>
    <row r="37" customFormat="false" ht="15" hidden="false" customHeight="false" outlineLevel="0" collapsed="false">
      <c r="A37" s="0" t="n">
        <v>12</v>
      </c>
      <c r="B37" s="16" t="n">
        <f aca="false">Supuestos!$B$33*Supuestos!$B$57</f>
        <v>32</v>
      </c>
      <c r="C37" s="5" t="n">
        <f aca="false">B37*Supuestos!$B$7</f>
        <v>7968</v>
      </c>
      <c r="D37" s="5" t="n">
        <f aca="false">-C37*Supuestos!$B$8</f>
        <v>-2390.4</v>
      </c>
      <c r="E37" s="5" t="n">
        <f aca="false">-B37*Supuestos!$B$19*Supuestos!$B$18</f>
        <v>-27.52</v>
      </c>
      <c r="F37" s="16" t="n">
        <f aca="false">F36*(1-Supuestos!$B$14)+B37*Supuestos!$B$13</f>
        <v>7.65066734149629</v>
      </c>
      <c r="G37" s="5" t="n">
        <f aca="false">F37*Supuestos!$B$9</f>
        <v>374.882699733318</v>
      </c>
      <c r="H37" s="5" t="n">
        <f aca="false">-F37*Supuestos!$B$39</f>
        <v>-42.2794238892705</v>
      </c>
      <c r="I37" s="5" t="n">
        <f aca="false">-F37*Supuestos!$B$40</f>
        <v>-20.0830017714278</v>
      </c>
      <c r="J37" s="5" t="n">
        <f aca="false">-Supuestos!$B$42</f>
        <v>-437.5</v>
      </c>
      <c r="K37" s="5" t="n">
        <f aca="false">0</f>
        <v>0</v>
      </c>
      <c r="L37" s="17" t="n">
        <f aca="false">C37+D37+E37+G37+H37+I37+J37+K37</f>
        <v>5425.10027407262</v>
      </c>
      <c r="M37" s="5" t="n">
        <f aca="false">M36+L37</f>
        <v>13924.9749195794</v>
      </c>
      <c r="N37" s="5" t="n">
        <f aca="false">L37</f>
        <v>5425.10027407262</v>
      </c>
      <c r="O37" s="5" t="n">
        <f aca="false">O36+N37</f>
        <v>64515.7749195794</v>
      </c>
    </row>
    <row r="38" customFormat="false" ht="15" hidden="false" customHeight="false" outlineLevel="0" collapsed="false">
      <c r="A38" s="12" t="s">
        <v>249</v>
      </c>
      <c r="C38" s="18" t="n">
        <f aca="false">NPV(Supuestos!$B$37,L26:L37)+L25</f>
        <v>9829.42765519128</v>
      </c>
      <c r="E38" s="12" t="s">
        <v>250</v>
      </c>
      <c r="G38" s="18" t="n">
        <f aca="false">NPV(Supuestos!$B$37,N26:N37)+N25</f>
        <v>60420.2276551913</v>
      </c>
      <c r="I38" s="12" t="s">
        <v>251</v>
      </c>
      <c r="K38" s="19" t="n">
        <f aca="false">IF(SUM(L25:L37)&lt;0,"no se recupera",IFERROR(IRR(L25:L37),"no hay"))</f>
        <v>0.0457979564386131</v>
      </c>
    </row>
    <row r="39" customFormat="false" ht="15" hidden="false" customHeight="false" outlineLevel="0" collapsed="false">
      <c r="A39" s="12" t="s">
        <v>252</v>
      </c>
      <c r="C39" s="7" t="n">
        <f aca="false">IFERROR(INDEX(A25:A37,MATCH(1,INDEX(--(M25:M37&gt;=0),0),0)),"no en 12 meses")</f>
        <v>9</v>
      </c>
      <c r="E39" s="12" t="s">
        <v>253</v>
      </c>
      <c r="G39" s="7" t="n">
        <f aca="false">IFERROR(INDEX(A25:A37,MATCH(1,INDEX(--(O25:O37&gt;=0),0),0)),"no en 12 meses")</f>
        <v>1</v>
      </c>
      <c r="I39" s="12" t="s">
        <v>254</v>
      </c>
      <c r="K39" s="5" t="n">
        <f aca="false">SUM(C25:C37)+SUM(G25:G37)</f>
        <v>104503.789271924</v>
      </c>
    </row>
    <row r="42" customFormat="false" ht="15" hidden="false" customHeight="false" outlineLevel="0" collapsed="false">
      <c r="A42" s="12" t="str">
        <f aca="false">"MVP · escenario optimista — copias en el año 1: "&amp;TEXT(Supuestos!$B$34,"#,##0")</f>
        <v>MVP · escenario optimista — copias en el año 1: 1,100</v>
      </c>
    </row>
    <row r="43" customFormat="false" ht="41.75" hidden="false" customHeight="false" outlineLevel="0" collapsed="false">
      <c r="A43" s="2" t="s">
        <v>234</v>
      </c>
      <c r="B43" s="2" t="s">
        <v>235</v>
      </c>
      <c r="C43" s="2" t="s">
        <v>236</v>
      </c>
      <c r="D43" s="2" t="s">
        <v>237</v>
      </c>
      <c r="E43" s="2" t="s">
        <v>238</v>
      </c>
      <c r="F43" s="2" t="s">
        <v>239</v>
      </c>
      <c r="G43" s="2" t="s">
        <v>240</v>
      </c>
      <c r="H43" s="2" t="s">
        <v>241</v>
      </c>
      <c r="I43" s="2" t="s">
        <v>242</v>
      </c>
      <c r="J43" s="2" t="s">
        <v>243</v>
      </c>
      <c r="K43" s="2" t="s">
        <v>244</v>
      </c>
      <c r="L43" s="2" t="s">
        <v>245</v>
      </c>
      <c r="M43" s="2" t="s">
        <v>246</v>
      </c>
      <c r="N43" s="2" t="s">
        <v>247</v>
      </c>
      <c r="O43" s="2" t="s">
        <v>248</v>
      </c>
    </row>
    <row r="44" customFormat="false" ht="15" hidden="false" customHeight="false" outlineLevel="0" collapsed="false">
      <c r="A44" s="0" t="n">
        <v>0</v>
      </c>
      <c r="B44" s="16" t="n">
        <f aca="false">0</f>
        <v>0</v>
      </c>
      <c r="C44" s="5" t="n">
        <f aca="false">B44*Supuestos!$B$7</f>
        <v>0</v>
      </c>
      <c r="D44" s="5" t="n">
        <f aca="false">-C44*Supuestos!$B$8</f>
        <v>-0</v>
      </c>
      <c r="E44" s="5" t="n">
        <f aca="false">-B44*Supuestos!$B$19*Supuestos!$B$18</f>
        <v>-0</v>
      </c>
      <c r="F44" s="16" t="n">
        <f aca="false">0</f>
        <v>0</v>
      </c>
      <c r="G44" s="5" t="n">
        <f aca="false">F44*Supuestos!$B$9</f>
        <v>0</v>
      </c>
      <c r="H44" s="5" t="n">
        <f aca="false">-F44*Supuestos!$B$39</f>
        <v>-0</v>
      </c>
      <c r="I44" s="5" t="n">
        <f aca="false">-F44*Supuestos!$B$40</f>
        <v>-0</v>
      </c>
      <c r="J44" s="5" t="n">
        <f aca="false">0</f>
        <v>0</v>
      </c>
      <c r="K44" s="5" t="n">
        <f aca="false">-(Supuestos!$B$21+Supuestos!$B$41)</f>
        <v>-54289.06</v>
      </c>
      <c r="L44" s="17" t="n">
        <f aca="false">C44+D44+E44+G44+H44+I44+J44+K44</f>
        <v>-54289.06</v>
      </c>
      <c r="M44" s="5" t="n">
        <f aca="false">L44</f>
        <v>-54289.06</v>
      </c>
      <c r="N44" s="5" t="n">
        <f aca="false">L44-K44-(Supuestos!$B$41+Supuestos!$B$23)</f>
        <v>-3698.26</v>
      </c>
      <c r="O44" s="5" t="n">
        <f aca="false">N44</f>
        <v>-3698.26</v>
      </c>
    </row>
    <row r="45" customFormat="false" ht="15" hidden="false" customHeight="false" outlineLevel="0" collapsed="false">
      <c r="A45" s="0" t="n">
        <v>1</v>
      </c>
      <c r="B45" s="16" t="n">
        <f aca="false">Supuestos!$B$34*Supuestos!$B$46</f>
        <v>220</v>
      </c>
      <c r="C45" s="5" t="n">
        <f aca="false">B45*Supuestos!$B$7</f>
        <v>54780</v>
      </c>
      <c r="D45" s="5" t="n">
        <f aca="false">-C45*Supuestos!$B$8</f>
        <v>-16434</v>
      </c>
      <c r="E45" s="5" t="n">
        <f aca="false">-B45*Supuestos!$B$19*Supuestos!$B$18</f>
        <v>-189.2</v>
      </c>
      <c r="F45" s="16" t="n">
        <f aca="false">F44*(1-Supuestos!$B$14)+B45*Supuestos!$B$13</f>
        <v>22</v>
      </c>
      <c r="G45" s="5" t="n">
        <f aca="false">F45*Supuestos!$B$9</f>
        <v>1078</v>
      </c>
      <c r="H45" s="5" t="n">
        <f aca="false">-F45*Supuestos!$B$39</f>
        <v>-121.57728</v>
      </c>
      <c r="I45" s="5" t="n">
        <f aca="false">-F45*Supuestos!$B$40</f>
        <v>-57.75</v>
      </c>
      <c r="J45" s="5" t="n">
        <f aca="false">-Supuestos!$B$42</f>
        <v>-437.5</v>
      </c>
      <c r="K45" s="5" t="n">
        <f aca="false">0</f>
        <v>0</v>
      </c>
      <c r="L45" s="17" t="n">
        <f aca="false">C45+D45+E45+G45+H45+I45+J45+K45</f>
        <v>38617.97272</v>
      </c>
      <c r="M45" s="5" t="n">
        <f aca="false">M44+L45</f>
        <v>-15671.08728</v>
      </c>
      <c r="N45" s="5" t="n">
        <f aca="false">L45</f>
        <v>38617.97272</v>
      </c>
      <c r="O45" s="5" t="n">
        <f aca="false">O44+N45</f>
        <v>34919.71272</v>
      </c>
    </row>
    <row r="46" customFormat="false" ht="15" hidden="false" customHeight="false" outlineLevel="0" collapsed="false">
      <c r="A46" s="0" t="n">
        <v>2</v>
      </c>
      <c r="B46" s="16" t="n">
        <f aca="false">Supuestos!$B$34*Supuestos!$B$47</f>
        <v>132</v>
      </c>
      <c r="C46" s="5" t="n">
        <f aca="false">B46*Supuestos!$B$7</f>
        <v>32868</v>
      </c>
      <c r="D46" s="5" t="n">
        <f aca="false">-C46*Supuestos!$B$8</f>
        <v>-9860.4</v>
      </c>
      <c r="E46" s="5" t="n">
        <f aca="false">-B46*Supuestos!$B$19*Supuestos!$B$18</f>
        <v>-113.52</v>
      </c>
      <c r="F46" s="16" t="n">
        <f aca="false">F45*(1-Supuestos!$B$14)+B46*Supuestos!$B$13</f>
        <v>27.5</v>
      </c>
      <c r="G46" s="5" t="n">
        <f aca="false">F46*Supuestos!$B$9</f>
        <v>1347.5</v>
      </c>
      <c r="H46" s="5" t="n">
        <f aca="false">-F46*Supuestos!$B$39</f>
        <v>-151.9716</v>
      </c>
      <c r="I46" s="5" t="n">
        <f aca="false">-F46*Supuestos!$B$40</f>
        <v>-72.1875</v>
      </c>
      <c r="J46" s="5" t="n">
        <f aca="false">-Supuestos!$B$42</f>
        <v>-437.5</v>
      </c>
      <c r="K46" s="5" t="n">
        <f aca="false">0</f>
        <v>0</v>
      </c>
      <c r="L46" s="17" t="n">
        <f aca="false">C46+D46+E46+G46+H46+I46+J46+K46</f>
        <v>23579.9209</v>
      </c>
      <c r="M46" s="5" t="n">
        <f aca="false">M45+L46</f>
        <v>7908.83362000001</v>
      </c>
      <c r="N46" s="5" t="n">
        <f aca="false">L46</f>
        <v>23579.9209</v>
      </c>
      <c r="O46" s="5" t="n">
        <f aca="false">O45+N46</f>
        <v>58499.63362</v>
      </c>
    </row>
    <row r="47" customFormat="false" ht="15" hidden="false" customHeight="false" outlineLevel="0" collapsed="false">
      <c r="A47" s="0" t="n">
        <v>3</v>
      </c>
      <c r="B47" s="16" t="n">
        <f aca="false">Supuestos!$B$34*Supuestos!$B$48</f>
        <v>88</v>
      </c>
      <c r="C47" s="5" t="n">
        <f aca="false">B47*Supuestos!$B$7</f>
        <v>21912</v>
      </c>
      <c r="D47" s="5" t="n">
        <f aca="false">-C47*Supuestos!$B$8</f>
        <v>-6573.6</v>
      </c>
      <c r="E47" s="5" t="n">
        <f aca="false">-B47*Supuestos!$B$19*Supuestos!$B$18</f>
        <v>-75.68</v>
      </c>
      <c r="F47" s="16" t="n">
        <f aca="false">F46*(1-Supuestos!$B$14)+B47*Supuestos!$B$13</f>
        <v>26.675</v>
      </c>
      <c r="G47" s="5" t="n">
        <f aca="false">F47*Supuestos!$B$9</f>
        <v>1307.075</v>
      </c>
      <c r="H47" s="5" t="n">
        <f aca="false">-F47*Supuestos!$B$39</f>
        <v>-147.412452</v>
      </c>
      <c r="I47" s="5" t="n">
        <f aca="false">-F47*Supuestos!$B$40</f>
        <v>-70.021875</v>
      </c>
      <c r="J47" s="5" t="n">
        <f aca="false">-Supuestos!$B$42</f>
        <v>-437.5</v>
      </c>
      <c r="K47" s="5" t="n">
        <f aca="false">0</f>
        <v>0</v>
      </c>
      <c r="L47" s="17" t="n">
        <f aca="false">C47+D47+E47+G47+H47+I47+J47+K47</f>
        <v>15914.860673</v>
      </c>
      <c r="M47" s="5" t="n">
        <f aca="false">M46+L47</f>
        <v>23823.694293</v>
      </c>
      <c r="N47" s="5" t="n">
        <f aca="false">L47</f>
        <v>15914.860673</v>
      </c>
      <c r="O47" s="5" t="n">
        <f aca="false">O46+N47</f>
        <v>74414.494293</v>
      </c>
    </row>
    <row r="48" customFormat="false" ht="15" hidden="false" customHeight="false" outlineLevel="0" collapsed="false">
      <c r="A48" s="0" t="n">
        <v>4</v>
      </c>
      <c r="B48" s="16" t="n">
        <f aca="false">Supuestos!$B$34*Supuestos!$B$49</f>
        <v>66</v>
      </c>
      <c r="C48" s="5" t="n">
        <f aca="false">B48*Supuestos!$B$7</f>
        <v>16434</v>
      </c>
      <c r="D48" s="5" t="n">
        <f aca="false">-C48*Supuestos!$B$8</f>
        <v>-4930.2</v>
      </c>
      <c r="E48" s="5" t="n">
        <f aca="false">-B48*Supuestos!$B$19*Supuestos!$B$18</f>
        <v>-56.76</v>
      </c>
      <c r="F48" s="16" t="n">
        <f aca="false">F47*(1-Supuestos!$B$14)+B48*Supuestos!$B$13</f>
        <v>23.93875</v>
      </c>
      <c r="G48" s="5" t="n">
        <f aca="false">F48*Supuestos!$B$9</f>
        <v>1172.99875</v>
      </c>
      <c r="H48" s="5" t="n">
        <f aca="false">-F48*Supuestos!$B$39</f>
        <v>-132.2912778</v>
      </c>
      <c r="I48" s="5" t="n">
        <f aca="false">-F48*Supuestos!$B$40</f>
        <v>-62.83921875</v>
      </c>
      <c r="J48" s="5" t="n">
        <f aca="false">-Supuestos!$B$42</f>
        <v>-437.5</v>
      </c>
      <c r="K48" s="5" t="n">
        <f aca="false">0</f>
        <v>0</v>
      </c>
      <c r="L48" s="17" t="n">
        <f aca="false">C48+D48+E48+G48+H48+I48+J48+K48</f>
        <v>11987.40825345</v>
      </c>
      <c r="M48" s="5" t="n">
        <f aca="false">M47+L48</f>
        <v>35811.10254645</v>
      </c>
      <c r="N48" s="5" t="n">
        <f aca="false">L48</f>
        <v>11987.40825345</v>
      </c>
      <c r="O48" s="5" t="n">
        <f aca="false">O47+N48</f>
        <v>86401.90254645</v>
      </c>
    </row>
    <row r="49" customFormat="false" ht="15" hidden="false" customHeight="false" outlineLevel="0" collapsed="false">
      <c r="A49" s="0" t="n">
        <v>5</v>
      </c>
      <c r="B49" s="16" t="n">
        <f aca="false">Supuestos!$B$34*Supuestos!$B$50</f>
        <v>66</v>
      </c>
      <c r="C49" s="5" t="n">
        <f aca="false">B49*Supuestos!$B$7</f>
        <v>16434</v>
      </c>
      <c r="D49" s="5" t="n">
        <f aca="false">-C49*Supuestos!$B$8</f>
        <v>-4930.2</v>
      </c>
      <c r="E49" s="5" t="n">
        <f aca="false">-B49*Supuestos!$B$19*Supuestos!$B$18</f>
        <v>-56.76</v>
      </c>
      <c r="F49" s="16" t="n">
        <f aca="false">F48*(1-Supuestos!$B$14)+B49*Supuestos!$B$13</f>
        <v>22.1601875</v>
      </c>
      <c r="G49" s="5" t="n">
        <f aca="false">F49*Supuestos!$B$9</f>
        <v>1085.8491875</v>
      </c>
      <c r="H49" s="5" t="n">
        <f aca="false">-F49*Supuestos!$B$39</f>
        <v>-122.46251457</v>
      </c>
      <c r="I49" s="5" t="n">
        <f aca="false">-F49*Supuestos!$B$40</f>
        <v>-58.1704921875</v>
      </c>
      <c r="J49" s="5" t="n">
        <f aca="false">-Supuestos!$B$42</f>
        <v>-437.5</v>
      </c>
      <c r="K49" s="5" t="n">
        <f aca="false">0</f>
        <v>0</v>
      </c>
      <c r="L49" s="17" t="n">
        <f aca="false">C49+D49+E49+G49+H49+I49+J49+K49</f>
        <v>11914.7561807425</v>
      </c>
      <c r="M49" s="5" t="n">
        <f aca="false">M48+L49</f>
        <v>47725.8587271925</v>
      </c>
      <c r="N49" s="5" t="n">
        <f aca="false">L49</f>
        <v>11914.7561807425</v>
      </c>
      <c r="O49" s="5" t="n">
        <f aca="false">O48+N49</f>
        <v>98316.6587271925</v>
      </c>
    </row>
    <row r="50" customFormat="false" ht="15" hidden="false" customHeight="false" outlineLevel="0" collapsed="false">
      <c r="A50" s="0" t="n">
        <v>6</v>
      </c>
      <c r="B50" s="16" t="n">
        <f aca="false">Supuestos!$B$34*Supuestos!$B$51</f>
        <v>110</v>
      </c>
      <c r="C50" s="5" t="n">
        <f aca="false">B50*Supuestos!$B$7</f>
        <v>27390</v>
      </c>
      <c r="D50" s="5" t="n">
        <f aca="false">-C50*Supuestos!$B$8</f>
        <v>-8217</v>
      </c>
      <c r="E50" s="5" t="n">
        <f aca="false">-B50*Supuestos!$B$19*Supuestos!$B$18</f>
        <v>-94.6</v>
      </c>
      <c r="F50" s="16" t="n">
        <f aca="false">F49*(1-Supuestos!$B$14)+B50*Supuestos!$B$13</f>
        <v>25.404121875</v>
      </c>
      <c r="G50" s="5" t="n">
        <f aca="false">F50*Supuestos!$B$9</f>
        <v>1244.801971875</v>
      </c>
      <c r="H50" s="5" t="n">
        <f aca="false">-F50*Supuestos!$B$39</f>
        <v>-140.3892744705</v>
      </c>
      <c r="I50" s="5" t="n">
        <f aca="false">-F50*Supuestos!$B$40</f>
        <v>-66.685819921875</v>
      </c>
      <c r="J50" s="5" t="n">
        <f aca="false">-Supuestos!$B$42</f>
        <v>-437.5</v>
      </c>
      <c r="K50" s="5" t="n">
        <f aca="false">0</f>
        <v>0</v>
      </c>
      <c r="L50" s="17" t="n">
        <f aca="false">C50+D50+E50+G50+H50+I50+J50+K50</f>
        <v>19678.6268774826</v>
      </c>
      <c r="M50" s="5" t="n">
        <f aca="false">M49+L50</f>
        <v>67404.4856046751</v>
      </c>
      <c r="N50" s="5" t="n">
        <f aca="false">L50</f>
        <v>19678.6268774826</v>
      </c>
      <c r="O50" s="5" t="n">
        <f aca="false">O49+N50</f>
        <v>117995.285604675</v>
      </c>
    </row>
    <row r="51" customFormat="false" ht="15" hidden="false" customHeight="false" outlineLevel="0" collapsed="false">
      <c r="A51" s="0" t="n">
        <v>7</v>
      </c>
      <c r="B51" s="16" t="n">
        <f aca="false">Supuestos!$B$34*Supuestos!$B$52</f>
        <v>88</v>
      </c>
      <c r="C51" s="5" t="n">
        <f aca="false">B51*Supuestos!$B$7</f>
        <v>21912</v>
      </c>
      <c r="D51" s="5" t="n">
        <f aca="false">-C51*Supuestos!$B$8</f>
        <v>-6573.6</v>
      </c>
      <c r="E51" s="5" t="n">
        <f aca="false">-B51*Supuestos!$B$19*Supuestos!$B$18</f>
        <v>-75.68</v>
      </c>
      <c r="F51" s="16" t="n">
        <f aca="false">F50*(1-Supuestos!$B$14)+B51*Supuestos!$B$13</f>
        <v>25.31267921875</v>
      </c>
      <c r="G51" s="5" t="n">
        <f aca="false">F51*Supuestos!$B$9</f>
        <v>1240.32128171875</v>
      </c>
      <c r="H51" s="5" t="n">
        <f aca="false">-F51*Supuestos!$B$39</f>
        <v>-139.883940405825</v>
      </c>
      <c r="I51" s="5" t="n">
        <f aca="false">-F51*Supuestos!$B$40</f>
        <v>-66.4457829492188</v>
      </c>
      <c r="J51" s="5" t="n">
        <f aca="false">-Supuestos!$B$42</f>
        <v>-437.5</v>
      </c>
      <c r="K51" s="5" t="n">
        <f aca="false">0</f>
        <v>0</v>
      </c>
      <c r="L51" s="17" t="n">
        <f aca="false">C51+D51+E51+G51+H51+I51+J51+K51</f>
        <v>15859.2115583637</v>
      </c>
      <c r="M51" s="5" t="n">
        <f aca="false">M50+L51</f>
        <v>83263.6971630388</v>
      </c>
      <c r="N51" s="5" t="n">
        <f aca="false">L51</f>
        <v>15859.2115583637</v>
      </c>
      <c r="O51" s="5" t="n">
        <f aca="false">O50+N51</f>
        <v>133854.497163039</v>
      </c>
    </row>
    <row r="52" customFormat="false" ht="15" hidden="false" customHeight="false" outlineLevel="0" collapsed="false">
      <c r="A52" s="0" t="n">
        <v>8</v>
      </c>
      <c r="B52" s="16" t="n">
        <f aca="false">Supuestos!$B$34*Supuestos!$B$53</f>
        <v>66</v>
      </c>
      <c r="C52" s="5" t="n">
        <f aca="false">B52*Supuestos!$B$7</f>
        <v>16434</v>
      </c>
      <c r="D52" s="5" t="n">
        <f aca="false">-C52*Supuestos!$B$8</f>
        <v>-4930.2</v>
      </c>
      <c r="E52" s="5" t="n">
        <f aca="false">-B52*Supuestos!$B$19*Supuestos!$B$18</f>
        <v>-56.76</v>
      </c>
      <c r="F52" s="16" t="n">
        <f aca="false">F51*(1-Supuestos!$B$14)+B52*Supuestos!$B$13</f>
        <v>23.0532414921875</v>
      </c>
      <c r="G52" s="5" t="n">
        <f aca="false">F52*Supuestos!$B$9</f>
        <v>1129.60883311719</v>
      </c>
      <c r="H52" s="5" t="n">
        <f aca="false">-F52*Supuestos!$B$39</f>
        <v>-127.397745263786</v>
      </c>
      <c r="I52" s="5" t="n">
        <f aca="false">-F52*Supuestos!$B$40</f>
        <v>-60.5147589169922</v>
      </c>
      <c r="J52" s="5" t="n">
        <f aca="false">-Supuestos!$B$42</f>
        <v>-437.5</v>
      </c>
      <c r="K52" s="5" t="n">
        <f aca="false">0</f>
        <v>0</v>
      </c>
      <c r="L52" s="17" t="n">
        <f aca="false">C52+D52+E52+G52+H52+I52+J52+K52</f>
        <v>11951.2363289364</v>
      </c>
      <c r="M52" s="5" t="n">
        <f aca="false">M51+L52</f>
        <v>95214.9334919752</v>
      </c>
      <c r="N52" s="5" t="n">
        <f aca="false">L52</f>
        <v>11951.2363289364</v>
      </c>
      <c r="O52" s="5" t="n">
        <f aca="false">O51+N52</f>
        <v>145805.733491975</v>
      </c>
    </row>
    <row r="53" customFormat="false" ht="15" hidden="false" customHeight="false" outlineLevel="0" collapsed="false">
      <c r="A53" s="0" t="n">
        <v>9</v>
      </c>
      <c r="B53" s="16" t="n">
        <f aca="false">Supuestos!$B$34*Supuestos!$B$54</f>
        <v>55</v>
      </c>
      <c r="C53" s="5" t="n">
        <f aca="false">B53*Supuestos!$B$7</f>
        <v>13695</v>
      </c>
      <c r="D53" s="5" t="n">
        <f aca="false">-C53*Supuestos!$B$8</f>
        <v>-4108.5</v>
      </c>
      <c r="E53" s="5" t="n">
        <f aca="false">-B53*Supuestos!$B$19*Supuestos!$B$18</f>
        <v>-47.3</v>
      </c>
      <c r="F53" s="16" t="n">
        <f aca="false">F52*(1-Supuestos!$B$14)+B53*Supuestos!$B$13</f>
        <v>20.4846069699219</v>
      </c>
      <c r="G53" s="5" t="n">
        <f aca="false">F53*Supuestos!$B$9</f>
        <v>1003.74574152617</v>
      </c>
      <c r="H53" s="5" t="n">
        <f aca="false">-F53*Supuestos!$B$39</f>
        <v>-113.202854421461</v>
      </c>
      <c r="I53" s="5" t="n">
        <f aca="false">-F53*Supuestos!$B$40</f>
        <v>-53.7720932960449</v>
      </c>
      <c r="J53" s="5" t="n">
        <f aca="false">-Supuestos!$B$42</f>
        <v>-437.5</v>
      </c>
      <c r="K53" s="5" t="n">
        <f aca="false">0</f>
        <v>0</v>
      </c>
      <c r="L53" s="17" t="n">
        <f aca="false">C53+D53+E53+G53+H53+I53+J53+K53</f>
        <v>9938.47079380867</v>
      </c>
      <c r="M53" s="5" t="n">
        <f aca="false">M52+L53</f>
        <v>105153.404285784</v>
      </c>
      <c r="N53" s="5" t="n">
        <f aca="false">L53</f>
        <v>9938.47079380867</v>
      </c>
      <c r="O53" s="5" t="n">
        <f aca="false">O52+N53</f>
        <v>155744.204285784</v>
      </c>
    </row>
    <row r="54" customFormat="false" ht="15" hidden="false" customHeight="false" outlineLevel="0" collapsed="false">
      <c r="A54" s="0" t="n">
        <v>10</v>
      </c>
      <c r="B54" s="16" t="n">
        <f aca="false">Supuestos!$B$34*Supuestos!$B$55</f>
        <v>55</v>
      </c>
      <c r="C54" s="5" t="n">
        <f aca="false">B54*Supuestos!$B$7</f>
        <v>13695</v>
      </c>
      <c r="D54" s="5" t="n">
        <f aca="false">-C54*Supuestos!$B$8</f>
        <v>-4108.5</v>
      </c>
      <c r="E54" s="5" t="n">
        <f aca="false">-B54*Supuestos!$B$19*Supuestos!$B$18</f>
        <v>-47.3</v>
      </c>
      <c r="F54" s="16" t="n">
        <f aca="false">F53*(1-Supuestos!$B$14)+B54*Supuestos!$B$13</f>
        <v>18.8149945304492</v>
      </c>
      <c r="G54" s="5" t="n">
        <f aca="false">F54*Supuestos!$B$9</f>
        <v>921.934731992012</v>
      </c>
      <c r="H54" s="5" t="n">
        <f aca="false">-F54*Supuestos!$B$39</f>
        <v>-103.97617537395</v>
      </c>
      <c r="I54" s="5" t="n">
        <f aca="false">-F54*Supuestos!$B$40</f>
        <v>-49.3893606424292</v>
      </c>
      <c r="J54" s="5" t="n">
        <f aca="false">-Supuestos!$B$42</f>
        <v>-437.5</v>
      </c>
      <c r="K54" s="5" t="n">
        <f aca="false">0</f>
        <v>0</v>
      </c>
      <c r="L54" s="17" t="n">
        <f aca="false">C54+D54+E54+G54+H54+I54+J54+K54</f>
        <v>9870.26919597563</v>
      </c>
      <c r="M54" s="5" t="n">
        <f aca="false">M53+L54</f>
        <v>115023.67348176</v>
      </c>
      <c r="N54" s="5" t="n">
        <f aca="false">L54</f>
        <v>9870.26919597563</v>
      </c>
      <c r="O54" s="5" t="n">
        <f aca="false">O53+N54</f>
        <v>165614.47348176</v>
      </c>
    </row>
    <row r="55" customFormat="false" ht="15" hidden="false" customHeight="false" outlineLevel="0" collapsed="false">
      <c r="A55" s="0" t="n">
        <v>11</v>
      </c>
      <c r="B55" s="16" t="n">
        <f aca="false">Supuestos!$B$34*Supuestos!$B$56</f>
        <v>66</v>
      </c>
      <c r="C55" s="5" t="n">
        <f aca="false">B55*Supuestos!$B$7</f>
        <v>16434</v>
      </c>
      <c r="D55" s="5" t="n">
        <f aca="false">-C55*Supuestos!$B$8</f>
        <v>-4930.2</v>
      </c>
      <c r="E55" s="5" t="n">
        <f aca="false">-B55*Supuestos!$B$19*Supuestos!$B$18</f>
        <v>-56.76</v>
      </c>
      <c r="F55" s="16" t="n">
        <f aca="false">F54*(1-Supuestos!$B$14)+B55*Supuestos!$B$13</f>
        <v>18.829746444792</v>
      </c>
      <c r="G55" s="5" t="n">
        <f aca="false">F55*Supuestos!$B$9</f>
        <v>922.657575794808</v>
      </c>
      <c r="H55" s="5" t="n">
        <f aca="false">-F55*Supuestos!$B$39</f>
        <v>-104.057697993067</v>
      </c>
      <c r="I55" s="5" t="n">
        <f aca="false">-F55*Supuestos!$B$40</f>
        <v>-49.428084417579</v>
      </c>
      <c r="J55" s="5" t="n">
        <f aca="false">-Supuestos!$B$42</f>
        <v>-437.5</v>
      </c>
      <c r="K55" s="5" t="n">
        <f aca="false">0</f>
        <v>0</v>
      </c>
      <c r="L55" s="17" t="n">
        <f aca="false">C55+D55+E55+G55+H55+I55+J55+K55</f>
        <v>11778.7117933842</v>
      </c>
      <c r="M55" s="5" t="n">
        <f aca="false">M54+L55</f>
        <v>126802.385275144</v>
      </c>
      <c r="N55" s="5" t="n">
        <f aca="false">L55</f>
        <v>11778.7117933842</v>
      </c>
      <c r="O55" s="5" t="n">
        <f aca="false">O54+N55</f>
        <v>177393.185275144</v>
      </c>
    </row>
    <row r="56" customFormat="false" ht="15" hidden="false" customHeight="false" outlineLevel="0" collapsed="false">
      <c r="A56" s="0" t="n">
        <v>12</v>
      </c>
      <c r="B56" s="16" t="n">
        <f aca="false">Supuestos!$B$34*Supuestos!$B$57</f>
        <v>88</v>
      </c>
      <c r="C56" s="5" t="n">
        <f aca="false">B56*Supuestos!$B$7</f>
        <v>21912</v>
      </c>
      <c r="D56" s="5" t="n">
        <f aca="false">-C56*Supuestos!$B$8</f>
        <v>-6573.6</v>
      </c>
      <c r="E56" s="5" t="n">
        <f aca="false">-B56*Supuestos!$B$19*Supuestos!$B$18</f>
        <v>-75.68</v>
      </c>
      <c r="F56" s="16" t="n">
        <f aca="false">F55*(1-Supuestos!$B$14)+B56*Supuestos!$B$13</f>
        <v>21.0393351891148</v>
      </c>
      <c r="G56" s="5" t="n">
        <f aca="false">F56*Supuestos!$B$9</f>
        <v>1030.92742426663</v>
      </c>
      <c r="H56" s="5" t="n">
        <f aca="false">-F56*Supuestos!$B$39</f>
        <v>-116.268415695494</v>
      </c>
      <c r="I56" s="5" t="n">
        <f aca="false">-F56*Supuestos!$B$40</f>
        <v>-55.2282548714263</v>
      </c>
      <c r="J56" s="5" t="n">
        <f aca="false">-Supuestos!$B$42</f>
        <v>-437.5</v>
      </c>
      <c r="K56" s="5" t="n">
        <f aca="false">0</f>
        <v>0</v>
      </c>
      <c r="L56" s="17" t="n">
        <f aca="false">C56+D56+E56+G56+H56+I56+J56+K56</f>
        <v>15684.6507536997</v>
      </c>
      <c r="M56" s="5" t="n">
        <f aca="false">M55+L56</f>
        <v>142487.036028843</v>
      </c>
      <c r="N56" s="5" t="n">
        <f aca="false">L56</f>
        <v>15684.6507536997</v>
      </c>
      <c r="O56" s="5" t="n">
        <f aca="false">O55+N56</f>
        <v>193077.836028843</v>
      </c>
    </row>
    <row r="57" customFormat="false" ht="15" hidden="false" customHeight="false" outlineLevel="0" collapsed="false">
      <c r="A57" s="12" t="s">
        <v>249</v>
      </c>
      <c r="C57" s="18" t="n">
        <f aca="false">NPV(Supuestos!$B$37,L45:L56)+L44</f>
        <v>130561.30846567</v>
      </c>
      <c r="E57" s="12" t="s">
        <v>250</v>
      </c>
      <c r="G57" s="18" t="n">
        <f aca="false">NPV(Supuestos!$B$37,N45:N56)+N44</f>
        <v>181152.10846567</v>
      </c>
      <c r="I57" s="12" t="s">
        <v>251</v>
      </c>
      <c r="K57" s="19" t="n">
        <f aca="false">IF(SUM(L44:L56)&lt;0,"no se recupera",IFERROR(IRR(L44:L56),"no hay"))</f>
        <v>0.429433816939158</v>
      </c>
    </row>
    <row r="58" customFormat="false" ht="15" hidden="false" customHeight="false" outlineLevel="0" collapsed="false">
      <c r="A58" s="12" t="s">
        <v>252</v>
      </c>
      <c r="C58" s="7" t="n">
        <f aca="false">IFERROR(INDEX(A44:A56,MATCH(1,INDEX(--(M44:M56&gt;=0),0),0)),"no en 12 meses")</f>
        <v>2</v>
      </c>
      <c r="E58" s="12" t="s">
        <v>253</v>
      </c>
      <c r="G58" s="7" t="n">
        <f aca="false">IFERROR(INDEX(A44:A56,MATCH(1,INDEX(--(O44:O56&gt;=0),0),0)),"no en 12 meses")</f>
        <v>1</v>
      </c>
      <c r="I58" s="12" t="s">
        <v>254</v>
      </c>
      <c r="K58" s="5" t="n">
        <f aca="false">SUM(C44:C56)+SUM(G44:G56)</f>
        <v>287385.420497791</v>
      </c>
    </row>
    <row r="61" customFormat="false" ht="15" hidden="false" customHeight="false" outlineLevel="0" collapsed="false">
      <c r="A61" s="12" t="str">
        <f aca="false">"3 bloques · escenario pesimista — copias en el año 1: "&amp;TEXT(Supuestos!$B$32,"#,##0")</f>
        <v>3 bloques · escenario pesimista — copias en el año 1: 150</v>
      </c>
    </row>
    <row r="62" customFormat="false" ht="41.75" hidden="false" customHeight="false" outlineLevel="0" collapsed="false">
      <c r="A62" s="2" t="s">
        <v>234</v>
      </c>
      <c r="B62" s="2" t="s">
        <v>235</v>
      </c>
      <c r="C62" s="2" t="s">
        <v>236</v>
      </c>
      <c r="D62" s="2" t="s">
        <v>237</v>
      </c>
      <c r="E62" s="2" t="s">
        <v>238</v>
      </c>
      <c r="F62" s="2" t="s">
        <v>239</v>
      </c>
      <c r="G62" s="2" t="s">
        <v>240</v>
      </c>
      <c r="H62" s="2" t="s">
        <v>241</v>
      </c>
      <c r="I62" s="2" t="s">
        <v>242</v>
      </c>
      <c r="J62" s="2" t="s">
        <v>243</v>
      </c>
      <c r="K62" s="2" t="s">
        <v>244</v>
      </c>
      <c r="L62" s="2" t="s">
        <v>245</v>
      </c>
      <c r="M62" s="2" t="s">
        <v>246</v>
      </c>
      <c r="N62" s="2" t="s">
        <v>247</v>
      </c>
      <c r="O62" s="2" t="s">
        <v>248</v>
      </c>
    </row>
    <row r="63" customFormat="false" ht="15" hidden="false" customHeight="false" outlineLevel="0" collapsed="false">
      <c r="A63" s="0" t="n">
        <v>0</v>
      </c>
      <c r="B63" s="16" t="n">
        <f aca="false">0</f>
        <v>0</v>
      </c>
      <c r="C63" s="5" t="n">
        <f aca="false">B63*Supuestos!$B$7</f>
        <v>0</v>
      </c>
      <c r="D63" s="5" t="n">
        <f aca="false">-C63*Supuestos!$B$8</f>
        <v>-0</v>
      </c>
      <c r="E63" s="5" t="n">
        <f aca="false">-B63*Supuestos!$B$20*Supuestos!$B$18</f>
        <v>-0</v>
      </c>
      <c r="F63" s="16" t="n">
        <f aca="false">0</f>
        <v>0</v>
      </c>
      <c r="G63" s="5" t="n">
        <f aca="false">F63*Supuestos!$B$9</f>
        <v>0</v>
      </c>
      <c r="H63" s="5" t="n">
        <f aca="false">-F63*Supuestos!$B$39</f>
        <v>-0</v>
      </c>
      <c r="I63" s="5" t="n">
        <f aca="false">-F63*Supuestos!$B$40</f>
        <v>-0</v>
      </c>
      <c r="J63" s="5" t="n">
        <f aca="false">0</f>
        <v>0</v>
      </c>
      <c r="K63" s="5" t="n">
        <f aca="false">-(Supuestos!$B$22+Supuestos!$B$41)</f>
        <v>-119973.66</v>
      </c>
      <c r="L63" s="17" t="n">
        <f aca="false">C63+D63+E63+G63+H63+I63+J63+K63</f>
        <v>-119973.66</v>
      </c>
      <c r="M63" s="5" t="n">
        <f aca="false">L63</f>
        <v>-119973.66</v>
      </c>
      <c r="N63" s="5" t="n">
        <f aca="false">L63-K63-(Supuestos!$B$41+Supuestos!$B$24)</f>
        <v>-3722.46</v>
      </c>
      <c r="O63" s="5" t="n">
        <f aca="false">N63</f>
        <v>-3722.46</v>
      </c>
    </row>
    <row r="64" customFormat="false" ht="15" hidden="false" customHeight="false" outlineLevel="0" collapsed="false">
      <c r="A64" s="0" t="n">
        <v>1</v>
      </c>
      <c r="B64" s="16" t="n">
        <f aca="false">Supuestos!$B$32*Supuestos!$B$46</f>
        <v>30</v>
      </c>
      <c r="C64" s="5" t="n">
        <f aca="false">B64*Supuestos!$B$7</f>
        <v>7470</v>
      </c>
      <c r="D64" s="5" t="n">
        <f aca="false">-C64*Supuestos!$B$8</f>
        <v>-2241</v>
      </c>
      <c r="E64" s="5" t="n">
        <f aca="false">-B64*Supuestos!$B$20*Supuestos!$B$18</f>
        <v>-188.4</v>
      </c>
      <c r="F64" s="16" t="n">
        <f aca="false">F63*(1-Supuestos!$B$14)+B64*Supuestos!$B$13</f>
        <v>3</v>
      </c>
      <c r="G64" s="5" t="n">
        <f aca="false">F64*Supuestos!$B$9</f>
        <v>147</v>
      </c>
      <c r="H64" s="5" t="n">
        <f aca="false">-F64*Supuestos!$B$39</f>
        <v>-16.57872</v>
      </c>
      <c r="I64" s="5" t="n">
        <f aca="false">-F64*Supuestos!$B$40</f>
        <v>-7.875</v>
      </c>
      <c r="J64" s="5" t="n">
        <f aca="false">-Supuestos!$B$42</f>
        <v>-437.5</v>
      </c>
      <c r="K64" s="5" t="n">
        <f aca="false">0</f>
        <v>0</v>
      </c>
      <c r="L64" s="17" t="n">
        <f aca="false">C64+D64+E64+G64+H64+I64+J64+K64</f>
        <v>4725.64628</v>
      </c>
      <c r="M64" s="5" t="n">
        <f aca="false">M63+L64</f>
        <v>-115248.01372</v>
      </c>
      <c r="N64" s="5" t="n">
        <f aca="false">L64</f>
        <v>4725.64628</v>
      </c>
      <c r="O64" s="5" t="n">
        <f aca="false">O63+N64</f>
        <v>1003.18628</v>
      </c>
    </row>
    <row r="65" customFormat="false" ht="15" hidden="false" customHeight="false" outlineLevel="0" collapsed="false">
      <c r="A65" s="0" t="n">
        <v>2</v>
      </c>
      <c r="B65" s="16" t="n">
        <f aca="false">Supuestos!$B$32*Supuestos!$B$47</f>
        <v>18</v>
      </c>
      <c r="C65" s="5" t="n">
        <f aca="false">B65*Supuestos!$B$7</f>
        <v>4482</v>
      </c>
      <c r="D65" s="5" t="n">
        <f aca="false">-C65*Supuestos!$B$8</f>
        <v>-1344.6</v>
      </c>
      <c r="E65" s="5" t="n">
        <f aca="false">-B65*Supuestos!$B$20*Supuestos!$B$18</f>
        <v>-113.04</v>
      </c>
      <c r="F65" s="16" t="n">
        <f aca="false">F64*(1-Supuestos!$B$14)+B65*Supuestos!$B$13</f>
        <v>3.75</v>
      </c>
      <c r="G65" s="5" t="n">
        <f aca="false">F65*Supuestos!$B$9</f>
        <v>183.75</v>
      </c>
      <c r="H65" s="5" t="n">
        <f aca="false">-F65*Supuestos!$B$39</f>
        <v>-20.7234</v>
      </c>
      <c r="I65" s="5" t="n">
        <f aca="false">-F65*Supuestos!$B$40</f>
        <v>-9.84375</v>
      </c>
      <c r="J65" s="5" t="n">
        <f aca="false">-Supuestos!$B$42</f>
        <v>-437.5</v>
      </c>
      <c r="K65" s="5" t="n">
        <f aca="false">0</f>
        <v>0</v>
      </c>
      <c r="L65" s="17" t="n">
        <f aca="false">C65+D65+E65+G65+H65+I65+J65+K65</f>
        <v>2740.04285</v>
      </c>
      <c r="M65" s="5" t="n">
        <f aca="false">M64+L65</f>
        <v>-112507.97087</v>
      </c>
      <c r="N65" s="5" t="n">
        <f aca="false">L65</f>
        <v>2740.04285</v>
      </c>
      <c r="O65" s="5" t="n">
        <f aca="false">O64+N65</f>
        <v>3743.22913</v>
      </c>
    </row>
    <row r="66" customFormat="false" ht="15" hidden="false" customHeight="false" outlineLevel="0" collapsed="false">
      <c r="A66" s="0" t="n">
        <v>3</v>
      </c>
      <c r="B66" s="16" t="n">
        <f aca="false">Supuestos!$B$32*Supuestos!$B$48</f>
        <v>12</v>
      </c>
      <c r="C66" s="5" t="n">
        <f aca="false">B66*Supuestos!$B$7</f>
        <v>2988</v>
      </c>
      <c r="D66" s="5" t="n">
        <f aca="false">-C66*Supuestos!$B$8</f>
        <v>-896.4</v>
      </c>
      <c r="E66" s="5" t="n">
        <f aca="false">-B66*Supuestos!$B$20*Supuestos!$B$18</f>
        <v>-75.36</v>
      </c>
      <c r="F66" s="16" t="n">
        <f aca="false">F65*(1-Supuestos!$B$14)+B66*Supuestos!$B$13</f>
        <v>3.6375</v>
      </c>
      <c r="G66" s="5" t="n">
        <f aca="false">F66*Supuestos!$B$9</f>
        <v>178.2375</v>
      </c>
      <c r="H66" s="5" t="n">
        <f aca="false">-F66*Supuestos!$B$39</f>
        <v>-20.101698</v>
      </c>
      <c r="I66" s="5" t="n">
        <f aca="false">-F66*Supuestos!$B$40</f>
        <v>-9.5484375</v>
      </c>
      <c r="J66" s="5" t="n">
        <f aca="false">-Supuestos!$B$42</f>
        <v>-437.5</v>
      </c>
      <c r="K66" s="5" t="n">
        <f aca="false">0</f>
        <v>0</v>
      </c>
      <c r="L66" s="17" t="n">
        <f aca="false">C66+D66+E66+G66+H66+I66+J66+K66</f>
        <v>1727.3273645</v>
      </c>
      <c r="M66" s="5" t="n">
        <f aca="false">M65+L66</f>
        <v>-110780.6435055</v>
      </c>
      <c r="N66" s="5" t="n">
        <f aca="false">L66</f>
        <v>1727.3273645</v>
      </c>
      <c r="O66" s="5" t="n">
        <f aca="false">O65+N66</f>
        <v>5470.5564945</v>
      </c>
    </row>
    <row r="67" customFormat="false" ht="15" hidden="false" customHeight="false" outlineLevel="0" collapsed="false">
      <c r="A67" s="0" t="n">
        <v>4</v>
      </c>
      <c r="B67" s="16" t="n">
        <f aca="false">Supuestos!$B$32*Supuestos!$B$49</f>
        <v>9</v>
      </c>
      <c r="C67" s="5" t="n">
        <f aca="false">B67*Supuestos!$B$7</f>
        <v>2241</v>
      </c>
      <c r="D67" s="5" t="n">
        <f aca="false">-C67*Supuestos!$B$8</f>
        <v>-672.3</v>
      </c>
      <c r="E67" s="5" t="n">
        <f aca="false">-B67*Supuestos!$B$20*Supuestos!$B$18</f>
        <v>-56.52</v>
      </c>
      <c r="F67" s="16" t="n">
        <f aca="false">F66*(1-Supuestos!$B$14)+B67*Supuestos!$B$13</f>
        <v>3.264375</v>
      </c>
      <c r="G67" s="5" t="n">
        <f aca="false">F67*Supuestos!$B$9</f>
        <v>159.954375</v>
      </c>
      <c r="H67" s="5" t="n">
        <f aca="false">-F67*Supuestos!$B$39</f>
        <v>-18.0397197</v>
      </c>
      <c r="I67" s="5" t="n">
        <f aca="false">-F67*Supuestos!$B$40</f>
        <v>-8.568984375</v>
      </c>
      <c r="J67" s="5" t="n">
        <f aca="false">-Supuestos!$B$42</f>
        <v>-437.5</v>
      </c>
      <c r="K67" s="5" t="n">
        <f aca="false">0</f>
        <v>0</v>
      </c>
      <c r="L67" s="17" t="n">
        <f aca="false">C67+D67+E67+G67+H67+I67+J67+K67</f>
        <v>1208.025670925</v>
      </c>
      <c r="M67" s="5" t="n">
        <f aca="false">M66+L67</f>
        <v>-109572.617834575</v>
      </c>
      <c r="N67" s="5" t="n">
        <f aca="false">L67</f>
        <v>1208.025670925</v>
      </c>
      <c r="O67" s="5" t="n">
        <f aca="false">O66+N67</f>
        <v>6678.582165425</v>
      </c>
    </row>
    <row r="68" customFormat="false" ht="15" hidden="false" customHeight="false" outlineLevel="0" collapsed="false">
      <c r="A68" s="0" t="n">
        <v>5</v>
      </c>
      <c r="B68" s="16" t="n">
        <f aca="false">Supuestos!$B$32*Supuestos!$B$50</f>
        <v>9</v>
      </c>
      <c r="C68" s="5" t="n">
        <f aca="false">B68*Supuestos!$B$7</f>
        <v>2241</v>
      </c>
      <c r="D68" s="5" t="n">
        <f aca="false">-C68*Supuestos!$B$8</f>
        <v>-672.3</v>
      </c>
      <c r="E68" s="5" t="n">
        <f aca="false">-B68*Supuestos!$B$20*Supuestos!$B$18</f>
        <v>-56.52</v>
      </c>
      <c r="F68" s="16" t="n">
        <f aca="false">F67*(1-Supuestos!$B$14)+B68*Supuestos!$B$13</f>
        <v>3.02184375</v>
      </c>
      <c r="G68" s="5" t="n">
        <f aca="false">F68*Supuestos!$B$9</f>
        <v>148.07034375</v>
      </c>
      <c r="H68" s="5" t="n">
        <f aca="false">-F68*Supuestos!$B$39</f>
        <v>-16.699433805</v>
      </c>
      <c r="I68" s="5" t="n">
        <f aca="false">-F68*Supuestos!$B$40</f>
        <v>-7.93233984375</v>
      </c>
      <c r="J68" s="5" t="n">
        <f aca="false">-Supuestos!$B$42</f>
        <v>-437.5</v>
      </c>
      <c r="K68" s="5" t="n">
        <f aca="false">0</f>
        <v>0</v>
      </c>
      <c r="L68" s="17" t="n">
        <f aca="false">C68+D68+E68+G68+H68+I68+J68+K68</f>
        <v>1198.11857010125</v>
      </c>
      <c r="M68" s="5" t="n">
        <f aca="false">M67+L68</f>
        <v>-108374.499264474</v>
      </c>
      <c r="N68" s="5" t="n">
        <f aca="false">L68</f>
        <v>1198.11857010125</v>
      </c>
      <c r="O68" s="5" t="n">
        <f aca="false">O67+N68</f>
        <v>7876.70073552625</v>
      </c>
    </row>
    <row r="69" customFormat="false" ht="15" hidden="false" customHeight="false" outlineLevel="0" collapsed="false">
      <c r="A69" s="0" t="n">
        <v>6</v>
      </c>
      <c r="B69" s="16" t="n">
        <f aca="false">Supuestos!$B$32*Supuestos!$B$51</f>
        <v>15</v>
      </c>
      <c r="C69" s="5" t="n">
        <f aca="false">B69*Supuestos!$B$7</f>
        <v>3735</v>
      </c>
      <c r="D69" s="5" t="n">
        <f aca="false">-C69*Supuestos!$B$8</f>
        <v>-1120.5</v>
      </c>
      <c r="E69" s="5" t="n">
        <f aca="false">-B69*Supuestos!$B$20*Supuestos!$B$18</f>
        <v>-94.2</v>
      </c>
      <c r="F69" s="16" t="n">
        <f aca="false">F68*(1-Supuestos!$B$14)+B69*Supuestos!$B$13</f>
        <v>3.4641984375</v>
      </c>
      <c r="G69" s="5" t="n">
        <f aca="false">F69*Supuestos!$B$9</f>
        <v>169.7457234375</v>
      </c>
      <c r="H69" s="5" t="n">
        <f aca="false">-F69*Supuestos!$B$39</f>
        <v>-19.14399197325</v>
      </c>
      <c r="I69" s="5" t="n">
        <f aca="false">-F69*Supuestos!$B$40</f>
        <v>-9.0935208984375</v>
      </c>
      <c r="J69" s="5" t="n">
        <f aca="false">-Supuestos!$B$42</f>
        <v>-437.5</v>
      </c>
      <c r="K69" s="5" t="n">
        <f aca="false">0</f>
        <v>0</v>
      </c>
      <c r="L69" s="17" t="n">
        <f aca="false">C69+D69+E69+G69+H69+I69+J69+K69</f>
        <v>2224.30821056581</v>
      </c>
      <c r="M69" s="5" t="n">
        <f aca="false">M68+L69</f>
        <v>-106150.191053908</v>
      </c>
      <c r="N69" s="5" t="n">
        <f aca="false">L69</f>
        <v>2224.30821056581</v>
      </c>
      <c r="O69" s="5" t="n">
        <f aca="false">O68+N69</f>
        <v>10101.0089460921</v>
      </c>
    </row>
    <row r="70" customFormat="false" ht="15" hidden="false" customHeight="false" outlineLevel="0" collapsed="false">
      <c r="A70" s="0" t="n">
        <v>7</v>
      </c>
      <c r="B70" s="16" t="n">
        <f aca="false">Supuestos!$B$32*Supuestos!$B$52</f>
        <v>12</v>
      </c>
      <c r="C70" s="5" t="n">
        <f aca="false">B70*Supuestos!$B$7</f>
        <v>2988</v>
      </c>
      <c r="D70" s="5" t="n">
        <f aca="false">-C70*Supuestos!$B$8</f>
        <v>-896.4</v>
      </c>
      <c r="E70" s="5" t="n">
        <f aca="false">-B70*Supuestos!$B$20*Supuestos!$B$18</f>
        <v>-75.36</v>
      </c>
      <c r="F70" s="16" t="n">
        <f aca="false">F69*(1-Supuestos!$B$14)+B70*Supuestos!$B$13</f>
        <v>3.451728984375</v>
      </c>
      <c r="G70" s="5" t="n">
        <f aca="false">F70*Supuestos!$B$9</f>
        <v>169.134720234375</v>
      </c>
      <c r="H70" s="5" t="n">
        <f aca="false">-F70*Supuestos!$B$39</f>
        <v>-19.0750827826125</v>
      </c>
      <c r="I70" s="5" t="n">
        <f aca="false">-F70*Supuestos!$B$40</f>
        <v>-9.06078858398438</v>
      </c>
      <c r="J70" s="5" t="n">
        <f aca="false">-Supuestos!$B$42</f>
        <v>-437.5</v>
      </c>
      <c r="K70" s="5" t="n">
        <f aca="false">0</f>
        <v>0</v>
      </c>
      <c r="L70" s="17" t="n">
        <f aca="false">C70+D70+E70+G70+H70+I70+J70+K70</f>
        <v>1719.73884886778</v>
      </c>
      <c r="M70" s="5" t="n">
        <f aca="false">M69+L70</f>
        <v>-104430.45220504</v>
      </c>
      <c r="N70" s="5" t="n">
        <f aca="false">L70</f>
        <v>1719.73884886778</v>
      </c>
      <c r="O70" s="5" t="n">
        <f aca="false">O69+N70</f>
        <v>11820.7477949598</v>
      </c>
    </row>
    <row r="71" customFormat="false" ht="15" hidden="false" customHeight="false" outlineLevel="0" collapsed="false">
      <c r="A71" s="0" t="n">
        <v>8</v>
      </c>
      <c r="B71" s="16" t="n">
        <f aca="false">Supuestos!$B$32*Supuestos!$B$53</f>
        <v>9</v>
      </c>
      <c r="C71" s="5" t="n">
        <f aca="false">B71*Supuestos!$B$7</f>
        <v>2241</v>
      </c>
      <c r="D71" s="5" t="n">
        <f aca="false">-C71*Supuestos!$B$8</f>
        <v>-672.3</v>
      </c>
      <c r="E71" s="5" t="n">
        <f aca="false">-B71*Supuestos!$B$20*Supuestos!$B$18</f>
        <v>-56.52</v>
      </c>
      <c r="F71" s="16" t="n">
        <f aca="false">F70*(1-Supuestos!$B$14)+B71*Supuestos!$B$13</f>
        <v>3.14362383984375</v>
      </c>
      <c r="G71" s="5" t="n">
        <f aca="false">F71*Supuestos!$B$9</f>
        <v>154.037568152344</v>
      </c>
      <c r="H71" s="5" t="n">
        <f aca="false">-F71*Supuestos!$B$39</f>
        <v>-17.3724198086981</v>
      </c>
      <c r="I71" s="5" t="n">
        <f aca="false">-F71*Supuestos!$B$40</f>
        <v>-8.25201257958985</v>
      </c>
      <c r="J71" s="5" t="n">
        <f aca="false">-Supuestos!$B$42</f>
        <v>-437.5</v>
      </c>
      <c r="K71" s="5" t="n">
        <f aca="false">0</f>
        <v>0</v>
      </c>
      <c r="L71" s="17" t="n">
        <f aca="false">C71+D71+E71+G71+H71+I71+J71+K71</f>
        <v>1203.09313576406</v>
      </c>
      <c r="M71" s="5" t="n">
        <f aca="false">M70+L71</f>
        <v>-103227.359069276</v>
      </c>
      <c r="N71" s="5" t="n">
        <f aca="false">L71</f>
        <v>1203.09313576406</v>
      </c>
      <c r="O71" s="5" t="n">
        <f aca="false">O70+N71</f>
        <v>13023.8409307239</v>
      </c>
    </row>
    <row r="72" customFormat="false" ht="15" hidden="false" customHeight="false" outlineLevel="0" collapsed="false">
      <c r="A72" s="0" t="n">
        <v>9</v>
      </c>
      <c r="B72" s="16" t="n">
        <f aca="false">Supuestos!$B$32*Supuestos!$B$54</f>
        <v>7.5</v>
      </c>
      <c r="C72" s="5" t="n">
        <f aca="false">B72*Supuestos!$B$7</f>
        <v>1867.5</v>
      </c>
      <c r="D72" s="5" t="n">
        <f aca="false">-C72*Supuestos!$B$8</f>
        <v>-560.25</v>
      </c>
      <c r="E72" s="5" t="n">
        <f aca="false">-B72*Supuestos!$B$20*Supuestos!$B$18</f>
        <v>-47.1</v>
      </c>
      <c r="F72" s="16" t="n">
        <f aca="false">F71*(1-Supuestos!$B$14)+B72*Supuestos!$B$13</f>
        <v>2.79335549589844</v>
      </c>
      <c r="G72" s="5" t="n">
        <f aca="false">F72*Supuestos!$B$9</f>
        <v>136.874419299023</v>
      </c>
      <c r="H72" s="5" t="n">
        <f aca="false">-F72*Supuestos!$B$39</f>
        <v>-15.4367528756538</v>
      </c>
      <c r="I72" s="5" t="n">
        <f aca="false">-F72*Supuestos!$B$40</f>
        <v>-7.3325581767334</v>
      </c>
      <c r="J72" s="5" t="n">
        <f aca="false">-Supuestos!$B$42</f>
        <v>-437.5</v>
      </c>
      <c r="K72" s="5" t="n">
        <f aca="false">0</f>
        <v>0</v>
      </c>
      <c r="L72" s="17" t="n">
        <f aca="false">C72+D72+E72+G72+H72+I72+J72+K72</f>
        <v>936.755108246636</v>
      </c>
      <c r="M72" s="5" t="n">
        <f aca="false">M71+L72</f>
        <v>-102290.603961029</v>
      </c>
      <c r="N72" s="5" t="n">
        <f aca="false">L72</f>
        <v>936.755108246636</v>
      </c>
      <c r="O72" s="5" t="n">
        <f aca="false">O71+N72</f>
        <v>13960.5960389705</v>
      </c>
    </row>
    <row r="73" customFormat="false" ht="15" hidden="false" customHeight="false" outlineLevel="0" collapsed="false">
      <c r="A73" s="0" t="n">
        <v>10</v>
      </c>
      <c r="B73" s="16" t="n">
        <f aca="false">Supuestos!$B$32*Supuestos!$B$55</f>
        <v>7.5</v>
      </c>
      <c r="C73" s="5" t="n">
        <f aca="false">B73*Supuestos!$B$7</f>
        <v>1867.5</v>
      </c>
      <c r="D73" s="5" t="n">
        <f aca="false">-C73*Supuestos!$B$8</f>
        <v>-560.25</v>
      </c>
      <c r="E73" s="5" t="n">
        <f aca="false">-B73*Supuestos!$B$20*Supuestos!$B$18</f>
        <v>-47.1</v>
      </c>
      <c r="F73" s="16" t="n">
        <f aca="false">F72*(1-Supuestos!$B$14)+B73*Supuestos!$B$13</f>
        <v>2.56568107233398</v>
      </c>
      <c r="G73" s="5" t="n">
        <f aca="false">F73*Supuestos!$B$9</f>
        <v>125.718372544365</v>
      </c>
      <c r="H73" s="5" t="n">
        <f aca="false">-F73*Supuestos!$B$39</f>
        <v>-14.178569369175</v>
      </c>
      <c r="I73" s="5" t="n">
        <f aca="false">-F73*Supuestos!$B$40</f>
        <v>-6.73491281487671</v>
      </c>
      <c r="J73" s="5" t="n">
        <f aca="false">-Supuestos!$B$42</f>
        <v>-437.5</v>
      </c>
      <c r="K73" s="5" t="n">
        <f aca="false">0</f>
        <v>0</v>
      </c>
      <c r="L73" s="17" t="n">
        <f aca="false">C73+D73+E73+G73+H73+I73+J73+K73</f>
        <v>927.454890360314</v>
      </c>
      <c r="M73" s="5" t="n">
        <f aca="false">M72+L73</f>
        <v>-101363.149070669</v>
      </c>
      <c r="N73" s="5" t="n">
        <f aca="false">L73</f>
        <v>927.454890360314</v>
      </c>
      <c r="O73" s="5" t="n">
        <f aca="false">O72+N73</f>
        <v>14888.0509293309</v>
      </c>
    </row>
    <row r="74" customFormat="false" ht="15" hidden="false" customHeight="false" outlineLevel="0" collapsed="false">
      <c r="A74" s="0" t="n">
        <v>11</v>
      </c>
      <c r="B74" s="16" t="n">
        <f aca="false">Supuestos!$B$32*Supuestos!$B$56</f>
        <v>9</v>
      </c>
      <c r="C74" s="5" t="n">
        <f aca="false">B74*Supuestos!$B$7</f>
        <v>2241</v>
      </c>
      <c r="D74" s="5" t="n">
        <f aca="false">-C74*Supuestos!$B$8</f>
        <v>-672.3</v>
      </c>
      <c r="E74" s="5" t="n">
        <f aca="false">-B74*Supuestos!$B$20*Supuestos!$B$18</f>
        <v>-56.52</v>
      </c>
      <c r="F74" s="16" t="n">
        <f aca="false">F73*(1-Supuestos!$B$14)+B74*Supuestos!$B$13</f>
        <v>2.56769269701709</v>
      </c>
      <c r="G74" s="5" t="n">
        <f aca="false">F74*Supuestos!$B$9</f>
        <v>125.816942153837</v>
      </c>
      <c r="H74" s="5" t="n">
        <f aca="false">-F74*Supuestos!$B$39</f>
        <v>-14.1896860899637</v>
      </c>
      <c r="I74" s="5" t="n">
        <f aca="false">-F74*Supuestos!$B$40</f>
        <v>-6.74019332966986</v>
      </c>
      <c r="J74" s="5" t="n">
        <f aca="false">-Supuestos!$B$42</f>
        <v>-437.5</v>
      </c>
      <c r="K74" s="5" t="n">
        <f aca="false">0</f>
        <v>0</v>
      </c>
      <c r="L74" s="17" t="n">
        <f aca="false">C74+D74+E74+G74+H74+I74+J74+K74</f>
        <v>1179.5670627342</v>
      </c>
      <c r="M74" s="5" t="n">
        <f aca="false">M73+L74</f>
        <v>-100183.582007935</v>
      </c>
      <c r="N74" s="5" t="n">
        <f aca="false">L74</f>
        <v>1179.5670627342</v>
      </c>
      <c r="O74" s="5" t="n">
        <f aca="false">O73+N74</f>
        <v>16067.6179920651</v>
      </c>
    </row>
    <row r="75" customFormat="false" ht="15" hidden="false" customHeight="false" outlineLevel="0" collapsed="false">
      <c r="A75" s="0" t="n">
        <v>12</v>
      </c>
      <c r="B75" s="16" t="n">
        <f aca="false">Supuestos!$B$32*Supuestos!$B$57</f>
        <v>12</v>
      </c>
      <c r="C75" s="5" t="n">
        <f aca="false">B75*Supuestos!$B$7</f>
        <v>2988</v>
      </c>
      <c r="D75" s="5" t="n">
        <f aca="false">-C75*Supuestos!$B$8</f>
        <v>-896.4</v>
      </c>
      <c r="E75" s="5" t="n">
        <f aca="false">-B75*Supuestos!$B$20*Supuestos!$B$18</f>
        <v>-75.36</v>
      </c>
      <c r="F75" s="16" t="n">
        <f aca="false">F74*(1-Supuestos!$B$14)+B75*Supuestos!$B$13</f>
        <v>2.86900025306111</v>
      </c>
      <c r="G75" s="5" t="n">
        <f aca="false">F75*Supuestos!$B$9</f>
        <v>140.581012399994</v>
      </c>
      <c r="H75" s="5" t="n">
        <f aca="false">-F75*Supuestos!$B$39</f>
        <v>-15.8547839584764</v>
      </c>
      <c r="I75" s="5" t="n">
        <f aca="false">-F75*Supuestos!$B$40</f>
        <v>-7.53112566428541</v>
      </c>
      <c r="J75" s="5" t="n">
        <f aca="false">-Supuestos!$B$42</f>
        <v>-437.5</v>
      </c>
      <c r="K75" s="5" t="n">
        <f aca="false">0</f>
        <v>0</v>
      </c>
      <c r="L75" s="17" t="n">
        <f aca="false">C75+D75+E75+G75+H75+I75+J75+K75</f>
        <v>1695.93510277723</v>
      </c>
      <c r="M75" s="5" t="n">
        <f aca="false">M74+L75</f>
        <v>-98487.6469051577</v>
      </c>
      <c r="N75" s="5" t="n">
        <f aca="false">L75</f>
        <v>1695.93510277723</v>
      </c>
      <c r="O75" s="5" t="n">
        <f aca="false">O74+N75</f>
        <v>17763.5530948423</v>
      </c>
    </row>
    <row r="76" customFormat="false" ht="15" hidden="false" customHeight="false" outlineLevel="0" collapsed="false">
      <c r="A76" s="12" t="s">
        <v>249</v>
      </c>
      <c r="C76" s="18" t="n">
        <f aca="false">NPV(Supuestos!$B$37,L64:L75)+L63</f>
        <v>-99737.576081314</v>
      </c>
      <c r="E76" s="12" t="s">
        <v>250</v>
      </c>
      <c r="G76" s="18" t="n">
        <f aca="false">NPV(Supuestos!$B$37,N64:N75)+N63</f>
        <v>16513.623918686</v>
      </c>
      <c r="I76" s="12" t="s">
        <v>251</v>
      </c>
      <c r="K76" s="19" t="str">
        <f aca="false">IF(SUM(L63:L75)&lt;0,"no se recupera",IFERROR(IRR(L63:L75),"no hay"))</f>
        <v>no se recupera</v>
      </c>
    </row>
    <row r="77" customFormat="false" ht="15" hidden="false" customHeight="false" outlineLevel="0" collapsed="false">
      <c r="A77" s="12" t="s">
        <v>252</v>
      </c>
      <c r="C77" s="0" t="str">
        <f aca="false">IFERROR(INDEX(A63:A75,MATCH(1,INDEX(--(M63:M75&gt;=0),0),0)),"no en 12 meses")</f>
        <v>no en 12 meses</v>
      </c>
      <c r="E77" s="12" t="s">
        <v>253</v>
      </c>
      <c r="G77" s="7" t="n">
        <f aca="false">IFERROR(INDEX(A63:A75,MATCH(1,INDEX(--(O63:O75&gt;=0),0),0)),"no en 12 meses")</f>
        <v>1</v>
      </c>
      <c r="I77" s="12" t="s">
        <v>254</v>
      </c>
      <c r="K77" s="5" t="n">
        <f aca="false">SUM(C63:C75)+SUM(G63:G75)</f>
        <v>39188.9209769714</v>
      </c>
    </row>
    <row r="80" customFormat="false" ht="15" hidden="false" customHeight="false" outlineLevel="0" collapsed="false">
      <c r="A80" s="12" t="str">
        <f aca="false">"3 bloques · escenario base — copias en el año 1: "&amp;TEXT(Supuestos!$B$33,"#,##0")</f>
        <v>3 bloques · escenario base — copias en el año 1: 400</v>
      </c>
    </row>
    <row r="81" customFormat="false" ht="41.75" hidden="false" customHeight="false" outlineLevel="0" collapsed="false">
      <c r="A81" s="2" t="s">
        <v>234</v>
      </c>
      <c r="B81" s="2" t="s">
        <v>235</v>
      </c>
      <c r="C81" s="2" t="s">
        <v>236</v>
      </c>
      <c r="D81" s="2" t="s">
        <v>237</v>
      </c>
      <c r="E81" s="2" t="s">
        <v>238</v>
      </c>
      <c r="F81" s="2" t="s">
        <v>239</v>
      </c>
      <c r="G81" s="2" t="s">
        <v>240</v>
      </c>
      <c r="H81" s="2" t="s">
        <v>241</v>
      </c>
      <c r="I81" s="2" t="s">
        <v>242</v>
      </c>
      <c r="J81" s="2" t="s">
        <v>243</v>
      </c>
      <c r="K81" s="2" t="s">
        <v>244</v>
      </c>
      <c r="L81" s="2" t="s">
        <v>245</v>
      </c>
      <c r="M81" s="2" t="s">
        <v>246</v>
      </c>
      <c r="N81" s="2" t="s">
        <v>247</v>
      </c>
      <c r="O81" s="2" t="s">
        <v>248</v>
      </c>
    </row>
    <row r="82" customFormat="false" ht="15" hidden="false" customHeight="false" outlineLevel="0" collapsed="false">
      <c r="A82" s="0" t="n">
        <v>0</v>
      </c>
      <c r="B82" s="16" t="n">
        <f aca="false">0</f>
        <v>0</v>
      </c>
      <c r="C82" s="5" t="n">
        <f aca="false">B82*Supuestos!$B$7</f>
        <v>0</v>
      </c>
      <c r="D82" s="5" t="n">
        <f aca="false">-C82*Supuestos!$B$8</f>
        <v>-0</v>
      </c>
      <c r="E82" s="5" t="n">
        <f aca="false">-B82*Supuestos!$B$20*Supuestos!$B$18</f>
        <v>-0</v>
      </c>
      <c r="F82" s="16" t="n">
        <f aca="false">0</f>
        <v>0</v>
      </c>
      <c r="G82" s="5" t="n">
        <f aca="false">F82*Supuestos!$B$9</f>
        <v>0</v>
      </c>
      <c r="H82" s="5" t="n">
        <f aca="false">-F82*Supuestos!$B$39</f>
        <v>-0</v>
      </c>
      <c r="I82" s="5" t="n">
        <f aca="false">-F82*Supuestos!$B$40</f>
        <v>-0</v>
      </c>
      <c r="J82" s="5" t="n">
        <f aca="false">0</f>
        <v>0</v>
      </c>
      <c r="K82" s="5" t="n">
        <f aca="false">-(Supuestos!$B$22+Supuestos!$B$41)</f>
        <v>-119973.66</v>
      </c>
      <c r="L82" s="17" t="n">
        <f aca="false">C82+D82+E82+G82+H82+I82+J82+K82</f>
        <v>-119973.66</v>
      </c>
      <c r="M82" s="5" t="n">
        <f aca="false">L82</f>
        <v>-119973.66</v>
      </c>
      <c r="N82" s="5" t="n">
        <f aca="false">L82-K82-(Supuestos!$B$41+Supuestos!$B$24)</f>
        <v>-3722.46</v>
      </c>
      <c r="O82" s="5" t="n">
        <f aca="false">N82</f>
        <v>-3722.46</v>
      </c>
    </row>
    <row r="83" customFormat="false" ht="15" hidden="false" customHeight="false" outlineLevel="0" collapsed="false">
      <c r="A83" s="0" t="n">
        <v>1</v>
      </c>
      <c r="B83" s="16" t="n">
        <f aca="false">Supuestos!$B$33*Supuestos!$B$46</f>
        <v>80</v>
      </c>
      <c r="C83" s="5" t="n">
        <f aca="false">B83*Supuestos!$B$7</f>
        <v>19920</v>
      </c>
      <c r="D83" s="5" t="n">
        <f aca="false">-C83*Supuestos!$B$8</f>
        <v>-5976</v>
      </c>
      <c r="E83" s="5" t="n">
        <f aca="false">-B83*Supuestos!$B$20*Supuestos!$B$18</f>
        <v>-502.4</v>
      </c>
      <c r="F83" s="16" t="n">
        <f aca="false">F82*(1-Supuestos!$B$14)+B83*Supuestos!$B$13</f>
        <v>8</v>
      </c>
      <c r="G83" s="5" t="n">
        <f aca="false">F83*Supuestos!$B$9</f>
        <v>392</v>
      </c>
      <c r="H83" s="5" t="n">
        <f aca="false">-F83*Supuestos!$B$39</f>
        <v>-44.20992</v>
      </c>
      <c r="I83" s="5" t="n">
        <f aca="false">-F83*Supuestos!$B$40</f>
        <v>-21</v>
      </c>
      <c r="J83" s="5" t="n">
        <f aca="false">-Supuestos!$B$42</f>
        <v>-437.5</v>
      </c>
      <c r="K83" s="5" t="n">
        <f aca="false">0</f>
        <v>0</v>
      </c>
      <c r="L83" s="17" t="n">
        <f aca="false">C83+D83+E83+G83+H83+I83+J83+K83</f>
        <v>13330.89008</v>
      </c>
      <c r="M83" s="5" t="n">
        <f aca="false">M82+L83</f>
        <v>-106642.76992</v>
      </c>
      <c r="N83" s="5" t="n">
        <f aca="false">L83</f>
        <v>13330.89008</v>
      </c>
      <c r="O83" s="5" t="n">
        <f aca="false">O82+N83</f>
        <v>9608.43008</v>
      </c>
    </row>
    <row r="84" customFormat="false" ht="15" hidden="false" customHeight="false" outlineLevel="0" collapsed="false">
      <c r="A84" s="0" t="n">
        <v>2</v>
      </c>
      <c r="B84" s="16" t="n">
        <f aca="false">Supuestos!$B$33*Supuestos!$B$47</f>
        <v>48</v>
      </c>
      <c r="C84" s="5" t="n">
        <f aca="false">B84*Supuestos!$B$7</f>
        <v>11952</v>
      </c>
      <c r="D84" s="5" t="n">
        <f aca="false">-C84*Supuestos!$B$8</f>
        <v>-3585.6</v>
      </c>
      <c r="E84" s="5" t="n">
        <f aca="false">-B84*Supuestos!$B$20*Supuestos!$B$18</f>
        <v>-301.44</v>
      </c>
      <c r="F84" s="16" t="n">
        <f aca="false">F83*(1-Supuestos!$B$14)+B84*Supuestos!$B$13</f>
        <v>10</v>
      </c>
      <c r="G84" s="5" t="n">
        <f aca="false">F84*Supuestos!$B$9</f>
        <v>490</v>
      </c>
      <c r="H84" s="5" t="n">
        <f aca="false">-F84*Supuestos!$B$39</f>
        <v>-55.2624</v>
      </c>
      <c r="I84" s="5" t="n">
        <f aca="false">-F84*Supuestos!$B$40</f>
        <v>-26.25</v>
      </c>
      <c r="J84" s="5" t="n">
        <f aca="false">-Supuestos!$B$42</f>
        <v>-437.5</v>
      </c>
      <c r="K84" s="5" t="n">
        <f aca="false">0</f>
        <v>0</v>
      </c>
      <c r="L84" s="17" t="n">
        <f aca="false">C84+D84+E84+G84+H84+I84+J84+K84</f>
        <v>8035.9476</v>
      </c>
      <c r="M84" s="5" t="n">
        <f aca="false">M83+L84</f>
        <v>-98606.82232</v>
      </c>
      <c r="N84" s="5" t="n">
        <f aca="false">L84</f>
        <v>8035.9476</v>
      </c>
      <c r="O84" s="5" t="n">
        <f aca="false">O83+N84</f>
        <v>17644.37768</v>
      </c>
    </row>
    <row r="85" customFormat="false" ht="15" hidden="false" customHeight="false" outlineLevel="0" collapsed="false">
      <c r="A85" s="0" t="n">
        <v>3</v>
      </c>
      <c r="B85" s="16" t="n">
        <f aca="false">Supuestos!$B$33*Supuestos!$B$48</f>
        <v>32</v>
      </c>
      <c r="C85" s="5" t="n">
        <f aca="false">B85*Supuestos!$B$7</f>
        <v>7968</v>
      </c>
      <c r="D85" s="5" t="n">
        <f aca="false">-C85*Supuestos!$B$8</f>
        <v>-2390.4</v>
      </c>
      <c r="E85" s="5" t="n">
        <f aca="false">-B85*Supuestos!$B$20*Supuestos!$B$18</f>
        <v>-200.96</v>
      </c>
      <c r="F85" s="16" t="n">
        <f aca="false">F84*(1-Supuestos!$B$14)+B85*Supuestos!$B$13</f>
        <v>9.7</v>
      </c>
      <c r="G85" s="5" t="n">
        <f aca="false">F85*Supuestos!$B$9</f>
        <v>475.3</v>
      </c>
      <c r="H85" s="5" t="n">
        <f aca="false">-F85*Supuestos!$B$39</f>
        <v>-53.604528</v>
      </c>
      <c r="I85" s="5" t="n">
        <f aca="false">-F85*Supuestos!$B$40</f>
        <v>-25.4625</v>
      </c>
      <c r="J85" s="5" t="n">
        <f aca="false">-Supuestos!$B$42</f>
        <v>-437.5</v>
      </c>
      <c r="K85" s="5" t="n">
        <f aca="false">0</f>
        <v>0</v>
      </c>
      <c r="L85" s="17" t="n">
        <f aca="false">C85+D85+E85+G85+H85+I85+J85+K85</f>
        <v>5335.372972</v>
      </c>
      <c r="M85" s="5" t="n">
        <f aca="false">M84+L85</f>
        <v>-93271.449348</v>
      </c>
      <c r="N85" s="5" t="n">
        <f aca="false">L85</f>
        <v>5335.372972</v>
      </c>
      <c r="O85" s="5" t="n">
        <f aca="false">O84+N85</f>
        <v>22979.750652</v>
      </c>
    </row>
    <row r="86" customFormat="false" ht="15" hidden="false" customHeight="false" outlineLevel="0" collapsed="false">
      <c r="A86" s="0" t="n">
        <v>4</v>
      </c>
      <c r="B86" s="16" t="n">
        <f aca="false">Supuestos!$B$33*Supuestos!$B$49</f>
        <v>24</v>
      </c>
      <c r="C86" s="5" t="n">
        <f aca="false">B86*Supuestos!$B$7</f>
        <v>5976</v>
      </c>
      <c r="D86" s="5" t="n">
        <f aca="false">-C86*Supuestos!$B$8</f>
        <v>-1792.8</v>
      </c>
      <c r="E86" s="5" t="n">
        <f aca="false">-B86*Supuestos!$B$20*Supuestos!$B$18</f>
        <v>-150.72</v>
      </c>
      <c r="F86" s="16" t="n">
        <f aca="false">F85*(1-Supuestos!$B$14)+B86*Supuestos!$B$13</f>
        <v>8.705</v>
      </c>
      <c r="G86" s="5" t="n">
        <f aca="false">F86*Supuestos!$B$9</f>
        <v>426.545</v>
      </c>
      <c r="H86" s="5" t="n">
        <f aca="false">-F86*Supuestos!$B$39</f>
        <v>-48.1059192</v>
      </c>
      <c r="I86" s="5" t="n">
        <f aca="false">-F86*Supuestos!$B$40</f>
        <v>-22.850625</v>
      </c>
      <c r="J86" s="5" t="n">
        <f aca="false">-Supuestos!$B$42</f>
        <v>-437.5</v>
      </c>
      <c r="K86" s="5" t="n">
        <f aca="false">0</f>
        <v>0</v>
      </c>
      <c r="L86" s="17" t="n">
        <f aca="false">C86+D86+E86+G86+H86+I86+J86+K86</f>
        <v>3950.5684558</v>
      </c>
      <c r="M86" s="5" t="n">
        <f aca="false">M85+L86</f>
        <v>-89320.8808922</v>
      </c>
      <c r="N86" s="5" t="n">
        <f aca="false">L86</f>
        <v>3950.5684558</v>
      </c>
      <c r="O86" s="5" t="n">
        <f aca="false">O85+N86</f>
        <v>26930.3191078</v>
      </c>
    </row>
    <row r="87" customFormat="false" ht="15" hidden="false" customHeight="false" outlineLevel="0" collapsed="false">
      <c r="A87" s="0" t="n">
        <v>5</v>
      </c>
      <c r="B87" s="16" t="n">
        <f aca="false">Supuestos!$B$33*Supuestos!$B$50</f>
        <v>24</v>
      </c>
      <c r="C87" s="5" t="n">
        <f aca="false">B87*Supuestos!$B$7</f>
        <v>5976</v>
      </c>
      <c r="D87" s="5" t="n">
        <f aca="false">-C87*Supuestos!$B$8</f>
        <v>-1792.8</v>
      </c>
      <c r="E87" s="5" t="n">
        <f aca="false">-B87*Supuestos!$B$20*Supuestos!$B$18</f>
        <v>-150.72</v>
      </c>
      <c r="F87" s="16" t="n">
        <f aca="false">F86*(1-Supuestos!$B$14)+B87*Supuestos!$B$13</f>
        <v>8.05825</v>
      </c>
      <c r="G87" s="5" t="n">
        <f aca="false">F87*Supuestos!$B$9</f>
        <v>394.85425</v>
      </c>
      <c r="H87" s="5" t="n">
        <f aca="false">-F87*Supuestos!$B$39</f>
        <v>-44.53182348</v>
      </c>
      <c r="I87" s="5" t="n">
        <f aca="false">-F87*Supuestos!$B$40</f>
        <v>-21.15290625</v>
      </c>
      <c r="J87" s="5" t="n">
        <f aca="false">-Supuestos!$B$42</f>
        <v>-437.5</v>
      </c>
      <c r="K87" s="5" t="n">
        <f aca="false">0</f>
        <v>0</v>
      </c>
      <c r="L87" s="17" t="n">
        <f aca="false">C87+D87+E87+G87+H87+I87+J87+K87</f>
        <v>3924.14952027</v>
      </c>
      <c r="M87" s="5" t="n">
        <f aca="false">M86+L87</f>
        <v>-85396.73137193</v>
      </c>
      <c r="N87" s="5" t="n">
        <f aca="false">L87</f>
        <v>3924.14952027</v>
      </c>
      <c r="O87" s="5" t="n">
        <f aca="false">O86+N87</f>
        <v>30854.46862807</v>
      </c>
    </row>
    <row r="88" customFormat="false" ht="15" hidden="false" customHeight="false" outlineLevel="0" collapsed="false">
      <c r="A88" s="0" t="n">
        <v>6</v>
      </c>
      <c r="B88" s="16" t="n">
        <f aca="false">Supuestos!$B$33*Supuestos!$B$51</f>
        <v>40</v>
      </c>
      <c r="C88" s="5" t="n">
        <f aca="false">B88*Supuestos!$B$7</f>
        <v>9960</v>
      </c>
      <c r="D88" s="5" t="n">
        <f aca="false">-C88*Supuestos!$B$8</f>
        <v>-2988</v>
      </c>
      <c r="E88" s="5" t="n">
        <f aca="false">-B88*Supuestos!$B$20*Supuestos!$B$18</f>
        <v>-251.2</v>
      </c>
      <c r="F88" s="16" t="n">
        <f aca="false">F87*(1-Supuestos!$B$14)+B88*Supuestos!$B$13</f>
        <v>9.2378625</v>
      </c>
      <c r="G88" s="5" t="n">
        <f aca="false">F88*Supuestos!$B$9</f>
        <v>452.6552625</v>
      </c>
      <c r="H88" s="5" t="n">
        <f aca="false">-F88*Supuestos!$B$39</f>
        <v>-51.050645262</v>
      </c>
      <c r="I88" s="5" t="n">
        <f aca="false">-F88*Supuestos!$B$40</f>
        <v>-24.2493890625</v>
      </c>
      <c r="J88" s="5" t="n">
        <f aca="false">-Supuestos!$B$42</f>
        <v>-437.5</v>
      </c>
      <c r="K88" s="5" t="n">
        <f aca="false">0</f>
        <v>0</v>
      </c>
      <c r="L88" s="17" t="n">
        <f aca="false">C88+D88+E88+G88+H88+I88+J88+K88</f>
        <v>6660.6552281755</v>
      </c>
      <c r="M88" s="5" t="n">
        <f aca="false">M87+L88</f>
        <v>-78736.0761437545</v>
      </c>
      <c r="N88" s="5" t="n">
        <f aca="false">L88</f>
        <v>6660.6552281755</v>
      </c>
      <c r="O88" s="5" t="n">
        <f aca="false">O87+N88</f>
        <v>37515.1238562455</v>
      </c>
    </row>
    <row r="89" customFormat="false" ht="15" hidden="false" customHeight="false" outlineLevel="0" collapsed="false">
      <c r="A89" s="0" t="n">
        <v>7</v>
      </c>
      <c r="B89" s="16" t="n">
        <f aca="false">Supuestos!$B$33*Supuestos!$B$52</f>
        <v>32</v>
      </c>
      <c r="C89" s="5" t="n">
        <f aca="false">B89*Supuestos!$B$7</f>
        <v>7968</v>
      </c>
      <c r="D89" s="5" t="n">
        <f aca="false">-C89*Supuestos!$B$8</f>
        <v>-2390.4</v>
      </c>
      <c r="E89" s="5" t="n">
        <f aca="false">-B89*Supuestos!$B$20*Supuestos!$B$18</f>
        <v>-200.96</v>
      </c>
      <c r="F89" s="16" t="n">
        <f aca="false">F88*(1-Supuestos!$B$14)+B89*Supuestos!$B$13</f>
        <v>9.204610625</v>
      </c>
      <c r="G89" s="5" t="n">
        <f aca="false">F89*Supuestos!$B$9</f>
        <v>451.025920625</v>
      </c>
      <c r="H89" s="5" t="n">
        <f aca="false">-F89*Supuestos!$B$39</f>
        <v>-50.8668874203</v>
      </c>
      <c r="I89" s="5" t="n">
        <f aca="false">-F89*Supuestos!$B$40</f>
        <v>-24.162102890625</v>
      </c>
      <c r="J89" s="5" t="n">
        <f aca="false">-Supuestos!$B$42</f>
        <v>-437.5</v>
      </c>
      <c r="K89" s="5" t="n">
        <f aca="false">0</f>
        <v>0</v>
      </c>
      <c r="L89" s="17" t="n">
        <f aca="false">C89+D89+E89+G89+H89+I89+J89+K89</f>
        <v>5315.13693031408</v>
      </c>
      <c r="M89" s="5" t="n">
        <f aca="false">M88+L89</f>
        <v>-73420.9392134404</v>
      </c>
      <c r="N89" s="5" t="n">
        <f aca="false">L89</f>
        <v>5315.13693031408</v>
      </c>
      <c r="O89" s="5" t="n">
        <f aca="false">O88+N89</f>
        <v>42830.2607865596</v>
      </c>
    </row>
    <row r="90" customFormat="false" ht="15" hidden="false" customHeight="false" outlineLevel="0" collapsed="false">
      <c r="A90" s="0" t="n">
        <v>8</v>
      </c>
      <c r="B90" s="16" t="n">
        <f aca="false">Supuestos!$B$33*Supuestos!$B$53</f>
        <v>24</v>
      </c>
      <c r="C90" s="5" t="n">
        <f aca="false">B90*Supuestos!$B$7</f>
        <v>5976</v>
      </c>
      <c r="D90" s="5" t="n">
        <f aca="false">-C90*Supuestos!$B$8</f>
        <v>-1792.8</v>
      </c>
      <c r="E90" s="5" t="n">
        <f aca="false">-B90*Supuestos!$B$20*Supuestos!$B$18</f>
        <v>-150.72</v>
      </c>
      <c r="F90" s="16" t="n">
        <f aca="false">F89*(1-Supuestos!$B$14)+B90*Supuestos!$B$13</f>
        <v>8.38299690625</v>
      </c>
      <c r="G90" s="5" t="n">
        <f aca="false">F90*Supuestos!$B$9</f>
        <v>410.76684840625</v>
      </c>
      <c r="H90" s="5" t="n">
        <f aca="false">-F90*Supuestos!$B$39</f>
        <v>-46.326452823195</v>
      </c>
      <c r="I90" s="5" t="n">
        <f aca="false">-F90*Supuestos!$B$40</f>
        <v>-22.0053668789063</v>
      </c>
      <c r="J90" s="5" t="n">
        <f aca="false">-Supuestos!$B$42</f>
        <v>-437.5</v>
      </c>
      <c r="K90" s="5" t="n">
        <f aca="false">0</f>
        <v>0</v>
      </c>
      <c r="L90" s="17" t="n">
        <f aca="false">C90+D90+E90+G90+H90+I90+J90+K90</f>
        <v>3937.41502870415</v>
      </c>
      <c r="M90" s="5" t="n">
        <f aca="false">M89+L90</f>
        <v>-69483.5241847363</v>
      </c>
      <c r="N90" s="5" t="n">
        <f aca="false">L90</f>
        <v>3937.41502870415</v>
      </c>
      <c r="O90" s="5" t="n">
        <f aca="false">O89+N90</f>
        <v>46767.6758152637</v>
      </c>
    </row>
    <row r="91" customFormat="false" ht="15" hidden="false" customHeight="false" outlineLevel="0" collapsed="false">
      <c r="A91" s="0" t="n">
        <v>9</v>
      </c>
      <c r="B91" s="16" t="n">
        <f aca="false">Supuestos!$B$33*Supuestos!$B$54</f>
        <v>20</v>
      </c>
      <c r="C91" s="5" t="n">
        <f aca="false">B91*Supuestos!$B$7</f>
        <v>4980</v>
      </c>
      <c r="D91" s="5" t="n">
        <f aca="false">-C91*Supuestos!$B$8</f>
        <v>-1494</v>
      </c>
      <c r="E91" s="5" t="n">
        <f aca="false">-B91*Supuestos!$B$20*Supuestos!$B$18</f>
        <v>-125.6</v>
      </c>
      <c r="F91" s="16" t="n">
        <f aca="false">F90*(1-Supuestos!$B$14)+B91*Supuestos!$B$13</f>
        <v>7.4489479890625</v>
      </c>
      <c r="G91" s="5" t="n">
        <f aca="false">F91*Supuestos!$B$9</f>
        <v>364.998451464063</v>
      </c>
      <c r="H91" s="5" t="n">
        <f aca="false">-F91*Supuestos!$B$39</f>
        <v>-41.1646743350767</v>
      </c>
      <c r="I91" s="5" t="n">
        <f aca="false">-F91*Supuestos!$B$40</f>
        <v>-19.5534884712891</v>
      </c>
      <c r="J91" s="5" t="n">
        <f aca="false">-Supuestos!$B$42</f>
        <v>-437.5</v>
      </c>
      <c r="K91" s="5" t="n">
        <f aca="false">0</f>
        <v>0</v>
      </c>
      <c r="L91" s="17" t="n">
        <f aca="false">C91+D91+E91+G91+H91+I91+J91+K91</f>
        <v>3227.1802886577</v>
      </c>
      <c r="M91" s="5" t="n">
        <f aca="false">M90+L91</f>
        <v>-66256.3438960786</v>
      </c>
      <c r="N91" s="5" t="n">
        <f aca="false">L91</f>
        <v>3227.1802886577</v>
      </c>
      <c r="O91" s="5" t="n">
        <f aca="false">O90+N91</f>
        <v>49994.8561039214</v>
      </c>
    </row>
    <row r="92" customFormat="false" ht="15" hidden="false" customHeight="false" outlineLevel="0" collapsed="false">
      <c r="A92" s="0" t="n">
        <v>10</v>
      </c>
      <c r="B92" s="16" t="n">
        <f aca="false">Supuestos!$B$33*Supuestos!$B$55</f>
        <v>20</v>
      </c>
      <c r="C92" s="5" t="n">
        <f aca="false">B92*Supuestos!$B$7</f>
        <v>4980</v>
      </c>
      <c r="D92" s="5" t="n">
        <f aca="false">-C92*Supuestos!$B$8</f>
        <v>-1494</v>
      </c>
      <c r="E92" s="5" t="n">
        <f aca="false">-B92*Supuestos!$B$20*Supuestos!$B$18</f>
        <v>-125.6</v>
      </c>
      <c r="F92" s="16" t="n">
        <f aca="false">F91*(1-Supuestos!$B$14)+B92*Supuestos!$B$13</f>
        <v>6.84181619289063</v>
      </c>
      <c r="G92" s="5" t="n">
        <f aca="false">F92*Supuestos!$B$9</f>
        <v>335.248993451641</v>
      </c>
      <c r="H92" s="5" t="n">
        <f aca="false">-F92*Supuestos!$B$39</f>
        <v>-37.8095183177999</v>
      </c>
      <c r="I92" s="5" t="n">
        <f aca="false">-F92*Supuestos!$B$40</f>
        <v>-17.9597675063379</v>
      </c>
      <c r="J92" s="5" t="n">
        <f aca="false">-Supuestos!$B$42</f>
        <v>-437.5</v>
      </c>
      <c r="K92" s="5" t="n">
        <f aca="false">0</f>
        <v>0</v>
      </c>
      <c r="L92" s="17" t="n">
        <f aca="false">C92+D92+E92+G92+H92+I92+J92+K92</f>
        <v>3202.3797076275</v>
      </c>
      <c r="M92" s="5" t="n">
        <f aca="false">M91+L92</f>
        <v>-63053.9641884511</v>
      </c>
      <c r="N92" s="5" t="n">
        <f aca="false">L92</f>
        <v>3202.3797076275</v>
      </c>
      <c r="O92" s="5" t="n">
        <f aca="false">O91+N92</f>
        <v>53197.2358115489</v>
      </c>
    </row>
    <row r="93" customFormat="false" ht="15" hidden="false" customHeight="false" outlineLevel="0" collapsed="false">
      <c r="A93" s="0" t="n">
        <v>11</v>
      </c>
      <c r="B93" s="16" t="n">
        <f aca="false">Supuestos!$B$33*Supuestos!$B$56</f>
        <v>24</v>
      </c>
      <c r="C93" s="5" t="n">
        <f aca="false">B93*Supuestos!$B$7</f>
        <v>5976</v>
      </c>
      <c r="D93" s="5" t="n">
        <f aca="false">-C93*Supuestos!$B$8</f>
        <v>-1792.8</v>
      </c>
      <c r="E93" s="5" t="n">
        <f aca="false">-B93*Supuestos!$B$20*Supuestos!$B$18</f>
        <v>-150.72</v>
      </c>
      <c r="F93" s="16" t="n">
        <f aca="false">F92*(1-Supuestos!$B$14)+B93*Supuestos!$B$13</f>
        <v>6.84718052537891</v>
      </c>
      <c r="G93" s="5" t="n">
        <f aca="false">F93*Supuestos!$B$9</f>
        <v>335.511845743566</v>
      </c>
      <c r="H93" s="5" t="n">
        <f aca="false">-F93*Supuestos!$B$39</f>
        <v>-37.8391629065699</v>
      </c>
      <c r="I93" s="5" t="n">
        <f aca="false">-F93*Supuestos!$B$40</f>
        <v>-17.9738488791196</v>
      </c>
      <c r="J93" s="5" t="n">
        <f aca="false">-Supuestos!$B$42</f>
        <v>-437.5</v>
      </c>
      <c r="K93" s="5" t="n">
        <f aca="false">0</f>
        <v>0</v>
      </c>
      <c r="L93" s="17" t="n">
        <f aca="false">C93+D93+E93+G93+H93+I93+J93+K93</f>
        <v>3874.67883395788</v>
      </c>
      <c r="M93" s="5" t="n">
        <f aca="false">M92+L93</f>
        <v>-59179.2853544932</v>
      </c>
      <c r="N93" s="5" t="n">
        <f aca="false">L93</f>
        <v>3874.67883395788</v>
      </c>
      <c r="O93" s="5" t="n">
        <f aca="false">O92+N93</f>
        <v>57071.9146455068</v>
      </c>
    </row>
    <row r="94" customFormat="false" ht="15" hidden="false" customHeight="false" outlineLevel="0" collapsed="false">
      <c r="A94" s="0" t="n">
        <v>12</v>
      </c>
      <c r="B94" s="16" t="n">
        <f aca="false">Supuestos!$B$33*Supuestos!$B$57</f>
        <v>32</v>
      </c>
      <c r="C94" s="5" t="n">
        <f aca="false">B94*Supuestos!$B$7</f>
        <v>7968</v>
      </c>
      <c r="D94" s="5" t="n">
        <f aca="false">-C94*Supuestos!$B$8</f>
        <v>-2390.4</v>
      </c>
      <c r="E94" s="5" t="n">
        <f aca="false">-B94*Supuestos!$B$20*Supuestos!$B$18</f>
        <v>-200.96</v>
      </c>
      <c r="F94" s="16" t="n">
        <f aca="false">F93*(1-Supuestos!$B$14)+B94*Supuestos!$B$13</f>
        <v>7.65066734149629</v>
      </c>
      <c r="G94" s="5" t="n">
        <f aca="false">F94*Supuestos!$B$9</f>
        <v>374.882699733318</v>
      </c>
      <c r="H94" s="5" t="n">
        <f aca="false">-F94*Supuestos!$B$39</f>
        <v>-42.2794238892705</v>
      </c>
      <c r="I94" s="5" t="n">
        <f aca="false">-F94*Supuestos!$B$40</f>
        <v>-20.0830017714278</v>
      </c>
      <c r="J94" s="5" t="n">
        <f aca="false">-Supuestos!$B$42</f>
        <v>-437.5</v>
      </c>
      <c r="K94" s="5" t="n">
        <f aca="false">0</f>
        <v>0</v>
      </c>
      <c r="L94" s="17" t="n">
        <f aca="false">C94+D94+E94+G94+H94+I94+J94+K94</f>
        <v>5251.66027407262</v>
      </c>
      <c r="M94" s="5" t="n">
        <f aca="false">M93+L94</f>
        <v>-53927.6250804206</v>
      </c>
      <c r="N94" s="5" t="n">
        <f aca="false">L94</f>
        <v>5251.66027407262</v>
      </c>
      <c r="O94" s="5" t="n">
        <f aca="false">O93+N94</f>
        <v>62323.5749195794</v>
      </c>
    </row>
    <row r="95" customFormat="false" ht="15" hidden="false" customHeight="false" outlineLevel="0" collapsed="false">
      <c r="A95" s="12" t="s">
        <v>249</v>
      </c>
      <c r="C95" s="18" t="n">
        <f aca="false">NPV(Supuestos!$B$37,L83:L94)+L82</f>
        <v>-57892.1720131286</v>
      </c>
      <c r="E95" s="12" t="s">
        <v>250</v>
      </c>
      <c r="G95" s="18" t="n">
        <f aca="false">NPV(Supuestos!$B$37,N83:N94)+N82</f>
        <v>58359.0279868714</v>
      </c>
      <c r="I95" s="12" t="s">
        <v>251</v>
      </c>
      <c r="K95" s="19" t="str">
        <f aca="false">IF(SUM(L82:L94)&lt;0,"no se recupera",IFERROR(IRR(L82:L94),"no hay"))</f>
        <v>no se recupera</v>
      </c>
    </row>
    <row r="96" customFormat="false" ht="15" hidden="false" customHeight="false" outlineLevel="0" collapsed="false">
      <c r="A96" s="12" t="s">
        <v>252</v>
      </c>
      <c r="C96" s="0" t="str">
        <f aca="false">IFERROR(INDEX(A82:A94,MATCH(1,INDEX(--(M82:M94&gt;=0),0),0)),"no en 12 meses")</f>
        <v>no en 12 meses</v>
      </c>
      <c r="E96" s="12" t="s">
        <v>253</v>
      </c>
      <c r="G96" s="7" t="n">
        <f aca="false">IFERROR(INDEX(A82:A94,MATCH(1,INDEX(--(O82:O94&gt;=0),0),0)),"no en 12 meses")</f>
        <v>1</v>
      </c>
      <c r="I96" s="12" t="s">
        <v>254</v>
      </c>
      <c r="K96" s="5" t="n">
        <f aca="false">SUM(C82:C94)+SUM(G82:G94)</f>
        <v>104503.789271924</v>
      </c>
    </row>
    <row r="99" customFormat="false" ht="15" hidden="false" customHeight="false" outlineLevel="0" collapsed="false">
      <c r="A99" s="12" t="str">
        <f aca="false">"3 bloques · escenario optimista — copias en el año 1: "&amp;TEXT(Supuestos!$B$34,"#,##0")</f>
        <v>3 bloques · escenario optimista — copias en el año 1: 1,100</v>
      </c>
    </row>
    <row r="100" customFormat="false" ht="41.75" hidden="false" customHeight="false" outlineLevel="0" collapsed="false">
      <c r="A100" s="2" t="s">
        <v>234</v>
      </c>
      <c r="B100" s="2" t="s">
        <v>235</v>
      </c>
      <c r="C100" s="2" t="s">
        <v>236</v>
      </c>
      <c r="D100" s="2" t="s">
        <v>237</v>
      </c>
      <c r="E100" s="2" t="s">
        <v>238</v>
      </c>
      <c r="F100" s="2" t="s">
        <v>239</v>
      </c>
      <c r="G100" s="2" t="s">
        <v>240</v>
      </c>
      <c r="H100" s="2" t="s">
        <v>241</v>
      </c>
      <c r="I100" s="2" t="s">
        <v>242</v>
      </c>
      <c r="J100" s="2" t="s">
        <v>243</v>
      </c>
      <c r="K100" s="2" t="s">
        <v>244</v>
      </c>
      <c r="L100" s="2" t="s">
        <v>245</v>
      </c>
      <c r="M100" s="2" t="s">
        <v>246</v>
      </c>
      <c r="N100" s="2" t="s">
        <v>247</v>
      </c>
      <c r="O100" s="2" t="s">
        <v>248</v>
      </c>
    </row>
    <row r="101" customFormat="false" ht="15" hidden="false" customHeight="false" outlineLevel="0" collapsed="false">
      <c r="A101" s="0" t="n">
        <v>0</v>
      </c>
      <c r="B101" s="16" t="n">
        <f aca="false">0</f>
        <v>0</v>
      </c>
      <c r="C101" s="5" t="n">
        <f aca="false">B101*Supuestos!$B$7</f>
        <v>0</v>
      </c>
      <c r="D101" s="5" t="n">
        <f aca="false">-C101*Supuestos!$B$8</f>
        <v>-0</v>
      </c>
      <c r="E101" s="5" t="n">
        <f aca="false">-B101*Supuestos!$B$20*Supuestos!$B$18</f>
        <v>-0</v>
      </c>
      <c r="F101" s="16" t="n">
        <f aca="false">0</f>
        <v>0</v>
      </c>
      <c r="G101" s="5" t="n">
        <f aca="false">F101*Supuestos!$B$9</f>
        <v>0</v>
      </c>
      <c r="H101" s="5" t="n">
        <f aca="false">-F101*Supuestos!$B$39</f>
        <v>-0</v>
      </c>
      <c r="I101" s="5" t="n">
        <f aca="false">-F101*Supuestos!$B$40</f>
        <v>-0</v>
      </c>
      <c r="J101" s="5" t="n">
        <f aca="false">0</f>
        <v>0</v>
      </c>
      <c r="K101" s="5" t="n">
        <f aca="false">-(Supuestos!$B$22+Supuestos!$B$41)</f>
        <v>-119973.66</v>
      </c>
      <c r="L101" s="17" t="n">
        <f aca="false">C101+D101+E101+G101+H101+I101+J101+K101</f>
        <v>-119973.66</v>
      </c>
      <c r="M101" s="5" t="n">
        <f aca="false">L101</f>
        <v>-119973.66</v>
      </c>
      <c r="N101" s="5" t="n">
        <f aca="false">L101-K101-(Supuestos!$B$41+Supuestos!$B$24)</f>
        <v>-3722.46</v>
      </c>
      <c r="O101" s="5" t="n">
        <f aca="false">N101</f>
        <v>-3722.46</v>
      </c>
    </row>
    <row r="102" customFormat="false" ht="15" hidden="false" customHeight="false" outlineLevel="0" collapsed="false">
      <c r="A102" s="0" t="n">
        <v>1</v>
      </c>
      <c r="B102" s="16" t="n">
        <f aca="false">Supuestos!$B$34*Supuestos!$B$46</f>
        <v>220</v>
      </c>
      <c r="C102" s="5" t="n">
        <f aca="false">B102*Supuestos!$B$7</f>
        <v>54780</v>
      </c>
      <c r="D102" s="5" t="n">
        <f aca="false">-C102*Supuestos!$B$8</f>
        <v>-16434</v>
      </c>
      <c r="E102" s="5" t="n">
        <f aca="false">-B102*Supuestos!$B$20*Supuestos!$B$18</f>
        <v>-1381.6</v>
      </c>
      <c r="F102" s="16" t="n">
        <f aca="false">F101*(1-Supuestos!$B$14)+B102*Supuestos!$B$13</f>
        <v>22</v>
      </c>
      <c r="G102" s="5" t="n">
        <f aca="false">F102*Supuestos!$B$9</f>
        <v>1078</v>
      </c>
      <c r="H102" s="5" t="n">
        <f aca="false">-F102*Supuestos!$B$39</f>
        <v>-121.57728</v>
      </c>
      <c r="I102" s="5" t="n">
        <f aca="false">-F102*Supuestos!$B$40</f>
        <v>-57.75</v>
      </c>
      <c r="J102" s="5" t="n">
        <f aca="false">-Supuestos!$B$42</f>
        <v>-437.5</v>
      </c>
      <c r="K102" s="5" t="n">
        <f aca="false">0</f>
        <v>0</v>
      </c>
      <c r="L102" s="17" t="n">
        <f aca="false">C102+D102+E102+G102+H102+I102+J102+K102</f>
        <v>37425.57272</v>
      </c>
      <c r="M102" s="5" t="n">
        <f aca="false">M101+L102</f>
        <v>-82548.08728</v>
      </c>
      <c r="N102" s="5" t="n">
        <f aca="false">L102</f>
        <v>37425.57272</v>
      </c>
      <c r="O102" s="5" t="n">
        <f aca="false">O101+N102</f>
        <v>33703.11272</v>
      </c>
    </row>
    <row r="103" customFormat="false" ht="15" hidden="false" customHeight="false" outlineLevel="0" collapsed="false">
      <c r="A103" s="0" t="n">
        <v>2</v>
      </c>
      <c r="B103" s="16" t="n">
        <f aca="false">Supuestos!$B$34*Supuestos!$B$47</f>
        <v>132</v>
      </c>
      <c r="C103" s="5" t="n">
        <f aca="false">B103*Supuestos!$B$7</f>
        <v>32868</v>
      </c>
      <c r="D103" s="5" t="n">
        <f aca="false">-C103*Supuestos!$B$8</f>
        <v>-9860.4</v>
      </c>
      <c r="E103" s="5" t="n">
        <f aca="false">-B103*Supuestos!$B$20*Supuestos!$B$18</f>
        <v>-828.96</v>
      </c>
      <c r="F103" s="16" t="n">
        <f aca="false">F102*(1-Supuestos!$B$14)+B103*Supuestos!$B$13</f>
        <v>27.5</v>
      </c>
      <c r="G103" s="5" t="n">
        <f aca="false">F103*Supuestos!$B$9</f>
        <v>1347.5</v>
      </c>
      <c r="H103" s="5" t="n">
        <f aca="false">-F103*Supuestos!$B$39</f>
        <v>-151.9716</v>
      </c>
      <c r="I103" s="5" t="n">
        <f aca="false">-F103*Supuestos!$B$40</f>
        <v>-72.1875</v>
      </c>
      <c r="J103" s="5" t="n">
        <f aca="false">-Supuestos!$B$42</f>
        <v>-437.5</v>
      </c>
      <c r="K103" s="5" t="n">
        <f aca="false">0</f>
        <v>0</v>
      </c>
      <c r="L103" s="17" t="n">
        <f aca="false">C103+D103+E103+G103+H103+I103+J103+K103</f>
        <v>22864.4809</v>
      </c>
      <c r="M103" s="5" t="n">
        <f aca="false">M102+L103</f>
        <v>-59683.60638</v>
      </c>
      <c r="N103" s="5" t="n">
        <f aca="false">L103</f>
        <v>22864.4809</v>
      </c>
      <c r="O103" s="5" t="n">
        <f aca="false">O102+N103</f>
        <v>56567.59362</v>
      </c>
    </row>
    <row r="104" customFormat="false" ht="15" hidden="false" customHeight="false" outlineLevel="0" collapsed="false">
      <c r="A104" s="0" t="n">
        <v>3</v>
      </c>
      <c r="B104" s="16" t="n">
        <f aca="false">Supuestos!$B$34*Supuestos!$B$48</f>
        <v>88</v>
      </c>
      <c r="C104" s="5" t="n">
        <f aca="false">B104*Supuestos!$B$7</f>
        <v>21912</v>
      </c>
      <c r="D104" s="5" t="n">
        <f aca="false">-C104*Supuestos!$B$8</f>
        <v>-6573.6</v>
      </c>
      <c r="E104" s="5" t="n">
        <f aca="false">-B104*Supuestos!$B$20*Supuestos!$B$18</f>
        <v>-552.64</v>
      </c>
      <c r="F104" s="16" t="n">
        <f aca="false">F103*(1-Supuestos!$B$14)+B104*Supuestos!$B$13</f>
        <v>26.675</v>
      </c>
      <c r="G104" s="5" t="n">
        <f aca="false">F104*Supuestos!$B$9</f>
        <v>1307.075</v>
      </c>
      <c r="H104" s="5" t="n">
        <f aca="false">-F104*Supuestos!$B$39</f>
        <v>-147.412452</v>
      </c>
      <c r="I104" s="5" t="n">
        <f aca="false">-F104*Supuestos!$B$40</f>
        <v>-70.021875</v>
      </c>
      <c r="J104" s="5" t="n">
        <f aca="false">-Supuestos!$B$42</f>
        <v>-437.5</v>
      </c>
      <c r="K104" s="5" t="n">
        <f aca="false">0</f>
        <v>0</v>
      </c>
      <c r="L104" s="17" t="n">
        <f aca="false">C104+D104+E104+G104+H104+I104+J104+K104</f>
        <v>15437.900673</v>
      </c>
      <c r="M104" s="5" t="n">
        <f aca="false">M103+L104</f>
        <v>-44245.705707</v>
      </c>
      <c r="N104" s="5" t="n">
        <f aca="false">L104</f>
        <v>15437.900673</v>
      </c>
      <c r="O104" s="5" t="n">
        <f aca="false">O103+N104</f>
        <v>72005.494293</v>
      </c>
    </row>
    <row r="105" customFormat="false" ht="15" hidden="false" customHeight="false" outlineLevel="0" collapsed="false">
      <c r="A105" s="0" t="n">
        <v>4</v>
      </c>
      <c r="B105" s="16" t="n">
        <f aca="false">Supuestos!$B$34*Supuestos!$B$49</f>
        <v>66</v>
      </c>
      <c r="C105" s="5" t="n">
        <f aca="false">B105*Supuestos!$B$7</f>
        <v>16434</v>
      </c>
      <c r="D105" s="5" t="n">
        <f aca="false">-C105*Supuestos!$B$8</f>
        <v>-4930.2</v>
      </c>
      <c r="E105" s="5" t="n">
        <f aca="false">-B105*Supuestos!$B$20*Supuestos!$B$18</f>
        <v>-414.48</v>
      </c>
      <c r="F105" s="16" t="n">
        <f aca="false">F104*(1-Supuestos!$B$14)+B105*Supuestos!$B$13</f>
        <v>23.93875</v>
      </c>
      <c r="G105" s="5" t="n">
        <f aca="false">F105*Supuestos!$B$9</f>
        <v>1172.99875</v>
      </c>
      <c r="H105" s="5" t="n">
        <f aca="false">-F105*Supuestos!$B$39</f>
        <v>-132.2912778</v>
      </c>
      <c r="I105" s="5" t="n">
        <f aca="false">-F105*Supuestos!$B$40</f>
        <v>-62.83921875</v>
      </c>
      <c r="J105" s="5" t="n">
        <f aca="false">-Supuestos!$B$42</f>
        <v>-437.5</v>
      </c>
      <c r="K105" s="5" t="n">
        <f aca="false">0</f>
        <v>0</v>
      </c>
      <c r="L105" s="17" t="n">
        <f aca="false">C105+D105+E105+G105+H105+I105+J105+K105</f>
        <v>11629.68825345</v>
      </c>
      <c r="M105" s="5" t="n">
        <f aca="false">M104+L105</f>
        <v>-32616.01745355</v>
      </c>
      <c r="N105" s="5" t="n">
        <f aca="false">L105</f>
        <v>11629.68825345</v>
      </c>
      <c r="O105" s="5" t="n">
        <f aca="false">O104+N105</f>
        <v>83635.18254645</v>
      </c>
    </row>
    <row r="106" customFormat="false" ht="15" hidden="false" customHeight="false" outlineLevel="0" collapsed="false">
      <c r="A106" s="0" t="n">
        <v>5</v>
      </c>
      <c r="B106" s="16" t="n">
        <f aca="false">Supuestos!$B$34*Supuestos!$B$50</f>
        <v>66</v>
      </c>
      <c r="C106" s="5" t="n">
        <f aca="false">B106*Supuestos!$B$7</f>
        <v>16434</v>
      </c>
      <c r="D106" s="5" t="n">
        <f aca="false">-C106*Supuestos!$B$8</f>
        <v>-4930.2</v>
      </c>
      <c r="E106" s="5" t="n">
        <f aca="false">-B106*Supuestos!$B$20*Supuestos!$B$18</f>
        <v>-414.48</v>
      </c>
      <c r="F106" s="16" t="n">
        <f aca="false">F105*(1-Supuestos!$B$14)+B106*Supuestos!$B$13</f>
        <v>22.1601875</v>
      </c>
      <c r="G106" s="5" t="n">
        <f aca="false">F106*Supuestos!$B$9</f>
        <v>1085.8491875</v>
      </c>
      <c r="H106" s="5" t="n">
        <f aca="false">-F106*Supuestos!$B$39</f>
        <v>-122.46251457</v>
      </c>
      <c r="I106" s="5" t="n">
        <f aca="false">-F106*Supuestos!$B$40</f>
        <v>-58.1704921875</v>
      </c>
      <c r="J106" s="5" t="n">
        <f aca="false">-Supuestos!$B$42</f>
        <v>-437.5</v>
      </c>
      <c r="K106" s="5" t="n">
        <f aca="false">0</f>
        <v>0</v>
      </c>
      <c r="L106" s="17" t="n">
        <f aca="false">C106+D106+E106+G106+H106+I106+J106+K106</f>
        <v>11557.0361807425</v>
      </c>
      <c r="M106" s="5" t="n">
        <f aca="false">M105+L106</f>
        <v>-21058.9812728075</v>
      </c>
      <c r="N106" s="5" t="n">
        <f aca="false">L106</f>
        <v>11557.0361807425</v>
      </c>
      <c r="O106" s="5" t="n">
        <f aca="false">O105+N106</f>
        <v>95192.2187271925</v>
      </c>
    </row>
    <row r="107" customFormat="false" ht="15" hidden="false" customHeight="false" outlineLevel="0" collapsed="false">
      <c r="A107" s="0" t="n">
        <v>6</v>
      </c>
      <c r="B107" s="16" t="n">
        <f aca="false">Supuestos!$B$34*Supuestos!$B$51</f>
        <v>110</v>
      </c>
      <c r="C107" s="5" t="n">
        <f aca="false">B107*Supuestos!$B$7</f>
        <v>27390</v>
      </c>
      <c r="D107" s="5" t="n">
        <f aca="false">-C107*Supuestos!$B$8</f>
        <v>-8217</v>
      </c>
      <c r="E107" s="5" t="n">
        <f aca="false">-B107*Supuestos!$B$20*Supuestos!$B$18</f>
        <v>-690.8</v>
      </c>
      <c r="F107" s="16" t="n">
        <f aca="false">F106*(1-Supuestos!$B$14)+B107*Supuestos!$B$13</f>
        <v>25.404121875</v>
      </c>
      <c r="G107" s="5" t="n">
        <f aca="false">F107*Supuestos!$B$9</f>
        <v>1244.801971875</v>
      </c>
      <c r="H107" s="5" t="n">
        <f aca="false">-F107*Supuestos!$B$39</f>
        <v>-140.3892744705</v>
      </c>
      <c r="I107" s="5" t="n">
        <f aca="false">-F107*Supuestos!$B$40</f>
        <v>-66.685819921875</v>
      </c>
      <c r="J107" s="5" t="n">
        <f aca="false">-Supuestos!$B$42</f>
        <v>-437.5</v>
      </c>
      <c r="K107" s="5" t="n">
        <f aca="false">0</f>
        <v>0</v>
      </c>
      <c r="L107" s="17" t="n">
        <f aca="false">C107+D107+E107+G107+H107+I107+J107+K107</f>
        <v>19082.4268774826</v>
      </c>
      <c r="M107" s="5" t="n">
        <f aca="false">M106+L107</f>
        <v>-1976.55439532488</v>
      </c>
      <c r="N107" s="5" t="n">
        <f aca="false">L107</f>
        <v>19082.4268774826</v>
      </c>
      <c r="O107" s="5" t="n">
        <f aca="false">O106+N107</f>
        <v>114274.645604675</v>
      </c>
    </row>
    <row r="108" customFormat="false" ht="15" hidden="false" customHeight="false" outlineLevel="0" collapsed="false">
      <c r="A108" s="0" t="n">
        <v>7</v>
      </c>
      <c r="B108" s="16" t="n">
        <f aca="false">Supuestos!$B$34*Supuestos!$B$52</f>
        <v>88</v>
      </c>
      <c r="C108" s="5" t="n">
        <f aca="false">B108*Supuestos!$B$7</f>
        <v>21912</v>
      </c>
      <c r="D108" s="5" t="n">
        <f aca="false">-C108*Supuestos!$B$8</f>
        <v>-6573.6</v>
      </c>
      <c r="E108" s="5" t="n">
        <f aca="false">-B108*Supuestos!$B$20*Supuestos!$B$18</f>
        <v>-552.64</v>
      </c>
      <c r="F108" s="16" t="n">
        <f aca="false">F107*(1-Supuestos!$B$14)+B108*Supuestos!$B$13</f>
        <v>25.31267921875</v>
      </c>
      <c r="G108" s="5" t="n">
        <f aca="false">F108*Supuestos!$B$9</f>
        <v>1240.32128171875</v>
      </c>
      <c r="H108" s="5" t="n">
        <f aca="false">-F108*Supuestos!$B$39</f>
        <v>-139.883940405825</v>
      </c>
      <c r="I108" s="5" t="n">
        <f aca="false">-F108*Supuestos!$B$40</f>
        <v>-66.4457829492188</v>
      </c>
      <c r="J108" s="5" t="n">
        <f aca="false">-Supuestos!$B$42</f>
        <v>-437.5</v>
      </c>
      <c r="K108" s="5" t="n">
        <f aca="false">0</f>
        <v>0</v>
      </c>
      <c r="L108" s="17" t="n">
        <f aca="false">C108+D108+E108+G108+H108+I108+J108+K108</f>
        <v>15382.2515583637</v>
      </c>
      <c r="M108" s="5" t="n">
        <f aca="false">M107+L108</f>
        <v>13405.6971630388</v>
      </c>
      <c r="N108" s="5" t="n">
        <f aca="false">L108</f>
        <v>15382.2515583637</v>
      </c>
      <c r="O108" s="5" t="n">
        <f aca="false">O107+N108</f>
        <v>129656.897163039</v>
      </c>
    </row>
    <row r="109" customFormat="false" ht="15" hidden="false" customHeight="false" outlineLevel="0" collapsed="false">
      <c r="A109" s="0" t="n">
        <v>8</v>
      </c>
      <c r="B109" s="16" t="n">
        <f aca="false">Supuestos!$B$34*Supuestos!$B$53</f>
        <v>66</v>
      </c>
      <c r="C109" s="5" t="n">
        <f aca="false">B109*Supuestos!$B$7</f>
        <v>16434</v>
      </c>
      <c r="D109" s="5" t="n">
        <f aca="false">-C109*Supuestos!$B$8</f>
        <v>-4930.2</v>
      </c>
      <c r="E109" s="5" t="n">
        <f aca="false">-B109*Supuestos!$B$20*Supuestos!$B$18</f>
        <v>-414.48</v>
      </c>
      <c r="F109" s="16" t="n">
        <f aca="false">F108*(1-Supuestos!$B$14)+B109*Supuestos!$B$13</f>
        <v>23.0532414921875</v>
      </c>
      <c r="G109" s="5" t="n">
        <f aca="false">F109*Supuestos!$B$9</f>
        <v>1129.60883311719</v>
      </c>
      <c r="H109" s="5" t="n">
        <f aca="false">-F109*Supuestos!$B$39</f>
        <v>-127.397745263786</v>
      </c>
      <c r="I109" s="5" t="n">
        <f aca="false">-F109*Supuestos!$B$40</f>
        <v>-60.5147589169922</v>
      </c>
      <c r="J109" s="5" t="n">
        <f aca="false">-Supuestos!$B$42</f>
        <v>-437.5</v>
      </c>
      <c r="K109" s="5" t="n">
        <f aca="false">0</f>
        <v>0</v>
      </c>
      <c r="L109" s="17" t="n">
        <f aca="false">C109+D109+E109+G109+H109+I109+J109+K109</f>
        <v>11593.5163289364</v>
      </c>
      <c r="M109" s="5" t="n">
        <f aca="false">M108+L109</f>
        <v>24999.2134919752</v>
      </c>
      <c r="N109" s="5" t="n">
        <f aca="false">L109</f>
        <v>11593.5163289364</v>
      </c>
      <c r="O109" s="5" t="n">
        <f aca="false">O108+N109</f>
        <v>141250.413491975</v>
      </c>
    </row>
    <row r="110" customFormat="false" ht="15" hidden="false" customHeight="false" outlineLevel="0" collapsed="false">
      <c r="A110" s="0" t="n">
        <v>9</v>
      </c>
      <c r="B110" s="16" t="n">
        <f aca="false">Supuestos!$B$34*Supuestos!$B$54</f>
        <v>55</v>
      </c>
      <c r="C110" s="5" t="n">
        <f aca="false">B110*Supuestos!$B$7</f>
        <v>13695</v>
      </c>
      <c r="D110" s="5" t="n">
        <f aca="false">-C110*Supuestos!$B$8</f>
        <v>-4108.5</v>
      </c>
      <c r="E110" s="5" t="n">
        <f aca="false">-B110*Supuestos!$B$20*Supuestos!$B$18</f>
        <v>-345.4</v>
      </c>
      <c r="F110" s="16" t="n">
        <f aca="false">F109*(1-Supuestos!$B$14)+B110*Supuestos!$B$13</f>
        <v>20.4846069699219</v>
      </c>
      <c r="G110" s="5" t="n">
        <f aca="false">F110*Supuestos!$B$9</f>
        <v>1003.74574152617</v>
      </c>
      <c r="H110" s="5" t="n">
        <f aca="false">-F110*Supuestos!$B$39</f>
        <v>-113.202854421461</v>
      </c>
      <c r="I110" s="5" t="n">
        <f aca="false">-F110*Supuestos!$B$40</f>
        <v>-53.7720932960449</v>
      </c>
      <c r="J110" s="5" t="n">
        <f aca="false">-Supuestos!$B$42</f>
        <v>-437.5</v>
      </c>
      <c r="K110" s="5" t="n">
        <f aca="false">0</f>
        <v>0</v>
      </c>
      <c r="L110" s="17" t="n">
        <f aca="false">C110+D110+E110+G110+H110+I110+J110+K110</f>
        <v>9640.37079380867</v>
      </c>
      <c r="M110" s="5" t="n">
        <f aca="false">M109+L110</f>
        <v>34639.5842857839</v>
      </c>
      <c r="N110" s="5" t="n">
        <f aca="false">L110</f>
        <v>9640.37079380867</v>
      </c>
      <c r="O110" s="5" t="n">
        <f aca="false">O109+N110</f>
        <v>150890.784285784</v>
      </c>
    </row>
    <row r="111" customFormat="false" ht="15" hidden="false" customHeight="false" outlineLevel="0" collapsed="false">
      <c r="A111" s="0" t="n">
        <v>10</v>
      </c>
      <c r="B111" s="16" t="n">
        <f aca="false">Supuestos!$B$34*Supuestos!$B$55</f>
        <v>55</v>
      </c>
      <c r="C111" s="5" t="n">
        <f aca="false">B111*Supuestos!$B$7</f>
        <v>13695</v>
      </c>
      <c r="D111" s="5" t="n">
        <f aca="false">-C111*Supuestos!$B$8</f>
        <v>-4108.5</v>
      </c>
      <c r="E111" s="5" t="n">
        <f aca="false">-B111*Supuestos!$B$20*Supuestos!$B$18</f>
        <v>-345.4</v>
      </c>
      <c r="F111" s="16" t="n">
        <f aca="false">F110*(1-Supuestos!$B$14)+B111*Supuestos!$B$13</f>
        <v>18.8149945304492</v>
      </c>
      <c r="G111" s="5" t="n">
        <f aca="false">F111*Supuestos!$B$9</f>
        <v>921.934731992012</v>
      </c>
      <c r="H111" s="5" t="n">
        <f aca="false">-F111*Supuestos!$B$39</f>
        <v>-103.97617537395</v>
      </c>
      <c r="I111" s="5" t="n">
        <f aca="false">-F111*Supuestos!$B$40</f>
        <v>-49.3893606424292</v>
      </c>
      <c r="J111" s="5" t="n">
        <f aca="false">-Supuestos!$B$42</f>
        <v>-437.5</v>
      </c>
      <c r="K111" s="5" t="n">
        <f aca="false">0</f>
        <v>0</v>
      </c>
      <c r="L111" s="17" t="n">
        <f aca="false">C111+D111+E111+G111+H111+I111+J111+K111</f>
        <v>9572.16919597563</v>
      </c>
      <c r="M111" s="5" t="n">
        <f aca="false">M110+L111</f>
        <v>44211.7534817595</v>
      </c>
      <c r="N111" s="5" t="n">
        <f aca="false">L111</f>
        <v>9572.16919597563</v>
      </c>
      <c r="O111" s="5" t="n">
        <f aca="false">O110+N111</f>
        <v>160462.95348176</v>
      </c>
    </row>
    <row r="112" customFormat="false" ht="15" hidden="false" customHeight="false" outlineLevel="0" collapsed="false">
      <c r="A112" s="0" t="n">
        <v>11</v>
      </c>
      <c r="B112" s="16" t="n">
        <f aca="false">Supuestos!$B$34*Supuestos!$B$56</f>
        <v>66</v>
      </c>
      <c r="C112" s="5" t="n">
        <f aca="false">B112*Supuestos!$B$7</f>
        <v>16434</v>
      </c>
      <c r="D112" s="5" t="n">
        <f aca="false">-C112*Supuestos!$B$8</f>
        <v>-4930.2</v>
      </c>
      <c r="E112" s="5" t="n">
        <f aca="false">-B112*Supuestos!$B$20*Supuestos!$B$18</f>
        <v>-414.48</v>
      </c>
      <c r="F112" s="16" t="n">
        <f aca="false">F111*(1-Supuestos!$B$14)+B112*Supuestos!$B$13</f>
        <v>18.829746444792</v>
      </c>
      <c r="G112" s="5" t="n">
        <f aca="false">F112*Supuestos!$B$9</f>
        <v>922.657575794808</v>
      </c>
      <c r="H112" s="5" t="n">
        <f aca="false">-F112*Supuestos!$B$39</f>
        <v>-104.057697993067</v>
      </c>
      <c r="I112" s="5" t="n">
        <f aca="false">-F112*Supuestos!$B$40</f>
        <v>-49.428084417579</v>
      </c>
      <c r="J112" s="5" t="n">
        <f aca="false">-Supuestos!$B$42</f>
        <v>-437.5</v>
      </c>
      <c r="K112" s="5" t="n">
        <f aca="false">0</f>
        <v>0</v>
      </c>
      <c r="L112" s="17" t="n">
        <f aca="false">C112+D112+E112+G112+H112+I112+J112+K112</f>
        <v>11420.9917933842</v>
      </c>
      <c r="M112" s="5" t="n">
        <f aca="false">M111+L112</f>
        <v>55632.7452751437</v>
      </c>
      <c r="N112" s="5" t="n">
        <f aca="false">L112</f>
        <v>11420.9917933842</v>
      </c>
      <c r="O112" s="5" t="n">
        <f aca="false">O111+N112</f>
        <v>171883.945275144</v>
      </c>
    </row>
    <row r="113" customFormat="false" ht="15" hidden="false" customHeight="false" outlineLevel="0" collapsed="false">
      <c r="A113" s="0" t="n">
        <v>12</v>
      </c>
      <c r="B113" s="16" t="n">
        <f aca="false">Supuestos!$B$34*Supuestos!$B$57</f>
        <v>88</v>
      </c>
      <c r="C113" s="5" t="n">
        <f aca="false">B113*Supuestos!$B$7</f>
        <v>21912</v>
      </c>
      <c r="D113" s="5" t="n">
        <f aca="false">-C113*Supuestos!$B$8</f>
        <v>-6573.6</v>
      </c>
      <c r="E113" s="5" t="n">
        <f aca="false">-B113*Supuestos!$B$20*Supuestos!$B$18</f>
        <v>-552.64</v>
      </c>
      <c r="F113" s="16" t="n">
        <f aca="false">F112*(1-Supuestos!$B$14)+B113*Supuestos!$B$13</f>
        <v>21.0393351891148</v>
      </c>
      <c r="G113" s="5" t="n">
        <f aca="false">F113*Supuestos!$B$9</f>
        <v>1030.92742426663</v>
      </c>
      <c r="H113" s="5" t="n">
        <f aca="false">-F113*Supuestos!$B$39</f>
        <v>-116.268415695494</v>
      </c>
      <c r="I113" s="5" t="n">
        <f aca="false">-F113*Supuestos!$B$40</f>
        <v>-55.2282548714263</v>
      </c>
      <c r="J113" s="5" t="n">
        <f aca="false">-Supuestos!$B$42</f>
        <v>-437.5</v>
      </c>
      <c r="K113" s="5" t="n">
        <f aca="false">0</f>
        <v>0</v>
      </c>
      <c r="L113" s="17" t="n">
        <f aca="false">C113+D113+E113+G113+H113+I113+J113+K113</f>
        <v>15207.6907536997</v>
      </c>
      <c r="M113" s="5" t="n">
        <f aca="false">M112+L113</f>
        <v>70840.4360288434</v>
      </c>
      <c r="N113" s="5" t="n">
        <f aca="false">L113</f>
        <v>15207.6907536997</v>
      </c>
      <c r="O113" s="5" t="n">
        <f aca="false">O112+N113</f>
        <v>187091.636028843</v>
      </c>
    </row>
    <row r="114" customFormat="false" ht="15" hidden="false" customHeight="false" outlineLevel="0" collapsed="false">
      <c r="A114" s="12" t="s">
        <v>249</v>
      </c>
      <c r="C114" s="18" t="n">
        <f aca="false">NPV(Supuestos!$B$37,L102:L113)+L101</f>
        <v>59274.9593777907</v>
      </c>
      <c r="E114" s="12" t="s">
        <v>250</v>
      </c>
      <c r="G114" s="18" t="n">
        <f aca="false">NPV(Supuestos!$B$37,N102:N113)+N101</f>
        <v>175526.159377791</v>
      </c>
      <c r="I114" s="12" t="s">
        <v>251</v>
      </c>
      <c r="K114" s="19" t="n">
        <f aca="false">IF(SUM(L101:L113)&lt;0,"no se recupera",IFERROR(IRR(L101:L113),"no hay"))</f>
        <v>0.100784200283393</v>
      </c>
    </row>
    <row r="115" customFormat="false" ht="15" hidden="false" customHeight="false" outlineLevel="0" collapsed="false">
      <c r="A115" s="12" t="s">
        <v>252</v>
      </c>
      <c r="C115" s="7" t="n">
        <f aca="false">IFERROR(INDEX(A101:A113,MATCH(1,INDEX(--(M101:M113&gt;=0),0),0)),"no en 12 meses")</f>
        <v>7</v>
      </c>
      <c r="E115" s="12" t="s">
        <v>253</v>
      </c>
      <c r="G115" s="7" t="n">
        <f aca="false">IFERROR(INDEX(A101:A113,MATCH(1,INDEX(--(O101:O113&gt;=0),0),0)),"no en 12 meses")</f>
        <v>1</v>
      </c>
      <c r="I115" s="12" t="s">
        <v>254</v>
      </c>
      <c r="K115" s="5" t="n">
        <f aca="false">SUM(C101:C113)+SUM(G101:G113)</f>
        <v>287385.420497791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2" style="0" width="16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0" t="s">
        <v>256</v>
      </c>
    </row>
    <row r="4" customFormat="false" ht="15" hidden="false" customHeight="false" outlineLevel="0" collapsed="false">
      <c r="A4" s="2" t="s">
        <v>257</v>
      </c>
      <c r="B4" s="2" t="s">
        <v>15</v>
      </c>
      <c r="C4" s="2" t="s">
        <v>16</v>
      </c>
      <c r="D4" s="2" t="s">
        <v>213</v>
      </c>
    </row>
    <row r="5" customFormat="false" ht="15" hidden="false" customHeight="false" outlineLevel="0" collapsed="false">
      <c r="A5" s="0" t="s">
        <v>258</v>
      </c>
      <c r="B5" s="3" t="n">
        <f aca="false">Supuestos!$B$21+Supuestos!$B$41+Supuestos!$B$42*12</f>
        <v>59539.06</v>
      </c>
      <c r="C5" s="3" t="n">
        <f aca="false">Supuestos!$B$22+Supuestos!$B$41+Supuestos!$B$42*12</f>
        <v>125223.66</v>
      </c>
    </row>
    <row r="6" customFormat="false" ht="15" hidden="false" customHeight="false" outlineLevel="0" collapsed="false">
      <c r="A6" s="0" t="s">
        <v>259</v>
      </c>
      <c r="B6" s="3" t="n">
        <f aca="false">Supuestos!$B$41+Supuestos!$B$23+Supuestos!$B$42*12</f>
        <v>8948.26</v>
      </c>
      <c r="C6" s="3" t="n">
        <f aca="false">Supuestos!$B$41+Supuestos!$B$24+Supuestos!$B$42*12</f>
        <v>8972.46</v>
      </c>
    </row>
    <row r="7" customFormat="false" ht="15" hidden="false" customHeight="false" outlineLevel="0" collapsed="false">
      <c r="A7" s="0" t="s">
        <v>260</v>
      </c>
      <c r="B7" s="3" t="n">
        <f aca="false">Supuestos!$B$7</f>
        <v>249</v>
      </c>
      <c r="C7" s="3" t="n">
        <f aca="false">Supuestos!$B$7</f>
        <v>249</v>
      </c>
    </row>
    <row r="8" customFormat="false" ht="15" hidden="false" customHeight="false" outlineLevel="0" collapsed="false">
      <c r="A8" s="0" t="s">
        <v>261</v>
      </c>
      <c r="B8" s="3" t="n">
        <f aca="false">Supuestos!$B$7*Supuestos!$B$8+Supuestos!$B$19*Supuestos!$B$18</f>
        <v>75.56</v>
      </c>
      <c r="C8" s="3" t="n">
        <f aca="false">Supuestos!$B$7*Supuestos!$B$8+Supuestos!$B$20*Supuestos!$B$18</f>
        <v>80.98</v>
      </c>
    </row>
    <row r="9" customFormat="false" ht="15" hidden="false" customHeight="false" outlineLevel="0" collapsed="false">
      <c r="A9" s="0" t="s">
        <v>262</v>
      </c>
      <c r="B9" s="3" t="n">
        <f aca="false">B7-B8</f>
        <v>173.44</v>
      </c>
      <c r="C9" s="3" t="n">
        <f aca="false">C7-C8</f>
        <v>168.02</v>
      </c>
    </row>
    <row r="10" customFormat="false" ht="15" hidden="false" customHeight="false" outlineLevel="0" collapsed="false">
      <c r="A10" s="0" t="s">
        <v>263</v>
      </c>
      <c r="B10" s="3" t="n">
        <f aca="false">Precio!$B$18</f>
        <v>11.6710742857143</v>
      </c>
      <c r="C10" s="3" t="n">
        <f aca="false">Precio!$B$18</f>
        <v>11.6710742857143</v>
      </c>
    </row>
    <row r="11" customFormat="false" ht="15" hidden="false" customHeight="false" outlineLevel="0" collapsed="false">
      <c r="A11" s="0" t="s">
        <v>264</v>
      </c>
      <c r="B11" s="3" t="n">
        <f aca="false">B9+B10</f>
        <v>185.111074285714</v>
      </c>
      <c r="C11" s="3" t="n">
        <f aca="false">C9+C10</f>
        <v>179.691074285714</v>
      </c>
    </row>
    <row r="12" customFormat="false" ht="15" hidden="false" customHeight="false" outlineLevel="0" collapsed="false">
      <c r="A12" s="0" t="s">
        <v>265</v>
      </c>
      <c r="B12" s="20" t="n">
        <f aca="false">ROUNDUP(B5/B11,0)</f>
        <v>322</v>
      </c>
      <c r="C12" s="20" t="n">
        <f aca="false">ROUNDUP(C5/C11,0)</f>
        <v>697</v>
      </c>
      <c r="D12" s="7" t="s">
        <v>266</v>
      </c>
    </row>
    <row r="13" customFormat="false" ht="15" hidden="false" customHeight="false" outlineLevel="0" collapsed="false">
      <c r="A13" s="0" t="s">
        <v>267</v>
      </c>
      <c r="B13" s="4" t="n">
        <f aca="false">ROUNDUP(B6/B11,0)</f>
        <v>49</v>
      </c>
      <c r="C13" s="4" t="n">
        <f aca="false">ROUNDUP(C6/C11,0)</f>
        <v>50</v>
      </c>
      <c r="D13" s="7" t="s">
        <v>268</v>
      </c>
    </row>
    <row r="14" customFormat="false" ht="15" hidden="false" customHeight="false" outlineLevel="0" collapsed="false">
      <c r="A14" s="0" t="s">
        <v>269</v>
      </c>
      <c r="B14" s="4" t="n">
        <f aca="false">Supuestos!$B$31</f>
        <v>1100</v>
      </c>
      <c r="C14" s="4" t="n">
        <f aca="false">Supuestos!$B$31</f>
        <v>1100</v>
      </c>
    </row>
    <row r="15" customFormat="false" ht="15" hidden="false" customHeight="false" outlineLevel="0" collapsed="false">
      <c r="A15" s="0" t="s">
        <v>270</v>
      </c>
      <c r="B15" s="13" t="n">
        <f aca="false">B12/B14</f>
        <v>0.292727272727273</v>
      </c>
      <c r="C15" s="13" t="n">
        <f aca="false">C12/C14</f>
        <v>0.633636363636364</v>
      </c>
    </row>
    <row r="16" customFormat="false" ht="15" hidden="false" customHeight="false" outlineLevel="0" collapsed="false">
      <c r="A16" s="0" t="s">
        <v>271</v>
      </c>
      <c r="B16" s="4" t="n">
        <f aca="false">Supuestos!$B$33</f>
        <v>400</v>
      </c>
      <c r="C16" s="4" t="n">
        <f aca="false">Supuestos!$B$33</f>
        <v>400</v>
      </c>
    </row>
    <row r="17" customFormat="false" ht="15" hidden="false" customHeight="false" outlineLevel="0" collapsed="false">
      <c r="A17" s="0" t="s">
        <v>272</v>
      </c>
      <c r="B17" s="0" t="str">
        <f aca="false">IF(B16&gt;=B12,"Sí","No: faltan "&amp;TEXT(B12-B16,"#,##0")&amp;" copias")</f>
        <v>Sí</v>
      </c>
      <c r="C17" s="0" t="str">
        <f aca="false">IF(C16&gt;=C12,"Sí","No: faltan "&amp;TEXT(C12-C16,"#,##0")&amp;" copias")</f>
        <v>No: faltan 297 copias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4" min="3" style="0" width="14"/>
    <col collapsed="false" customWidth="true" hidden="false" outlineLevel="0" max="5" min="5" style="0" width="8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0" t="s">
        <v>274</v>
      </c>
    </row>
    <row r="4" customFormat="false" ht="15" hidden="false" customHeight="false" outlineLevel="0" collapsed="false">
      <c r="A4" s="2" t="s">
        <v>275</v>
      </c>
      <c r="B4" s="2" t="s">
        <v>276</v>
      </c>
      <c r="C4" s="2" t="s">
        <v>15</v>
      </c>
      <c r="D4" s="2" t="s">
        <v>16</v>
      </c>
      <c r="E4" s="2" t="s">
        <v>277</v>
      </c>
      <c r="F4" s="2" t="s">
        <v>278</v>
      </c>
    </row>
    <row r="5" customFormat="false" ht="15" hidden="false" customHeight="false" outlineLevel="0" collapsed="false">
      <c r="A5" s="0" t="n">
        <v>1</v>
      </c>
      <c r="B5" s="0" t="s">
        <v>279</v>
      </c>
      <c r="C5" s="5" t="n">
        <v>2392</v>
      </c>
      <c r="D5" s="5" t="n">
        <v>21528</v>
      </c>
      <c r="E5" s="12" t="s">
        <v>280</v>
      </c>
      <c r="F5" s="7" t="s">
        <v>281</v>
      </c>
    </row>
    <row r="6" customFormat="false" ht="15" hidden="false" customHeight="false" outlineLevel="0" collapsed="false">
      <c r="A6" s="0" t="n">
        <v>2</v>
      </c>
      <c r="B6" s="0" t="s">
        <v>282</v>
      </c>
      <c r="C6" s="5" t="n">
        <v>20571.2</v>
      </c>
      <c r="D6" s="5" t="n">
        <v>20571.2</v>
      </c>
      <c r="E6" s="12" t="s">
        <v>280</v>
      </c>
      <c r="F6" s="7" t="s">
        <v>283</v>
      </c>
    </row>
    <row r="7" customFormat="false" ht="15" hidden="false" customHeight="false" outlineLevel="0" collapsed="false">
      <c r="A7" s="0" t="n">
        <v>3</v>
      </c>
      <c r="B7" s="0" t="s">
        <v>284</v>
      </c>
      <c r="C7" s="5" t="n">
        <v>0</v>
      </c>
      <c r="D7" s="5" t="n">
        <v>17222.4</v>
      </c>
      <c r="E7" s="12" t="s">
        <v>285</v>
      </c>
      <c r="F7" s="7" t="s">
        <v>286</v>
      </c>
    </row>
    <row r="8" customFormat="false" ht="15" hidden="false" customHeight="false" outlineLevel="0" collapsed="false">
      <c r="A8" s="0" t="n">
        <v>4</v>
      </c>
      <c r="B8" s="0" t="s">
        <v>287</v>
      </c>
      <c r="C8" s="5" t="n">
        <v>5740.8</v>
      </c>
      <c r="D8" s="5" t="n">
        <v>14352</v>
      </c>
      <c r="E8" s="12" t="s">
        <v>280</v>
      </c>
      <c r="F8" s="7" t="s">
        <v>288</v>
      </c>
    </row>
    <row r="9" customFormat="false" ht="15" hidden="false" customHeight="false" outlineLevel="0" collapsed="false">
      <c r="A9" s="0" t="n">
        <v>5</v>
      </c>
      <c r="B9" s="0" t="s">
        <v>289</v>
      </c>
      <c r="C9" s="5" t="n">
        <v>0</v>
      </c>
      <c r="D9" s="5" t="n">
        <v>11481.6</v>
      </c>
      <c r="E9" s="12" t="s">
        <v>285</v>
      </c>
      <c r="F9" s="7" t="s">
        <v>290</v>
      </c>
    </row>
    <row r="10" customFormat="false" ht="15" hidden="false" customHeight="false" outlineLevel="0" collapsed="false">
      <c r="A10" s="0" t="n">
        <v>6</v>
      </c>
      <c r="B10" s="0" t="s">
        <v>291</v>
      </c>
      <c r="C10" s="5" t="n">
        <v>2152.8</v>
      </c>
      <c r="D10" s="5" t="n">
        <v>9328.8</v>
      </c>
      <c r="E10" s="12" t="s">
        <v>285</v>
      </c>
      <c r="F10" s="7" t="s">
        <v>292</v>
      </c>
    </row>
    <row r="11" customFormat="false" ht="15" hidden="false" customHeight="false" outlineLevel="0" collapsed="false">
      <c r="A11" s="0" t="n">
        <v>7</v>
      </c>
      <c r="B11" s="0" t="s">
        <v>293</v>
      </c>
      <c r="C11" s="5" t="n">
        <v>7774</v>
      </c>
      <c r="D11" s="5" t="n">
        <v>7774</v>
      </c>
      <c r="E11" s="12" t="s">
        <v>285</v>
      </c>
      <c r="F11" s="7" t="s">
        <v>294</v>
      </c>
    </row>
    <row r="12" customFormat="false" ht="15" hidden="false" customHeight="false" outlineLevel="0" collapsed="false">
      <c r="A12" s="0" t="n">
        <v>8</v>
      </c>
      <c r="B12" s="0" t="s">
        <v>295</v>
      </c>
      <c r="C12" s="5" t="n">
        <v>5250</v>
      </c>
      <c r="D12" s="5" t="n">
        <v>5250</v>
      </c>
      <c r="E12" s="12" t="s">
        <v>285</v>
      </c>
      <c r="F12" s="7" t="s">
        <v>296</v>
      </c>
    </row>
    <row r="13" customFormat="false" ht="15" hidden="false" customHeight="false" outlineLevel="0" collapsed="false">
      <c r="A13" s="0" t="n">
        <v>9</v>
      </c>
      <c r="B13" s="0" t="s">
        <v>297</v>
      </c>
      <c r="C13" s="5" t="n">
        <v>2392</v>
      </c>
      <c r="D13" s="5" t="n">
        <v>4425.2</v>
      </c>
      <c r="E13" s="12" t="s">
        <v>285</v>
      </c>
      <c r="F13" s="7" t="s">
        <v>298</v>
      </c>
    </row>
    <row r="14" customFormat="false" ht="15" hidden="false" customHeight="false" outlineLevel="0" collapsed="false">
      <c r="A14" s="0" t="n">
        <v>10</v>
      </c>
      <c r="B14" s="0" t="s">
        <v>299</v>
      </c>
      <c r="C14" s="5" t="n">
        <v>3588</v>
      </c>
      <c r="D14" s="5" t="n">
        <v>3588</v>
      </c>
      <c r="E14" s="12" t="s">
        <v>280</v>
      </c>
      <c r="F14" s="7" t="s">
        <v>300</v>
      </c>
    </row>
    <row r="15" customFormat="false" ht="15" hidden="false" customHeight="false" outlineLevel="0" collapsed="false">
      <c r="A15" s="0" t="s">
        <v>301</v>
      </c>
      <c r="B15" s="0" t="s">
        <v>302</v>
      </c>
      <c r="C15" s="5" t="n">
        <f aca="false">Supuestos!$B$33*Supuestos!$B$7*Supuestos!$B$8</f>
        <v>29880</v>
      </c>
      <c r="D15" s="5" t="n">
        <f aca="false">Supuestos!$B$33*Supuestos!$B$7*Supuestos!$B$8</f>
        <v>29880</v>
      </c>
      <c r="E15" s="12" t="s">
        <v>303</v>
      </c>
      <c r="F15" s="7" t="s">
        <v>304</v>
      </c>
    </row>
    <row r="17" customFormat="false" ht="15" hidden="false" customHeight="false" outlineLevel="0" collapsed="false">
      <c r="B17" s="0" t="s">
        <v>305</v>
      </c>
    </row>
    <row r="18" customFormat="false" ht="15" hidden="false" customHeight="false" outlineLevel="0" collapsed="false">
      <c r="B18" s="0" t="s">
        <v>306</v>
      </c>
    </row>
    <row r="20" customFormat="false" ht="15" hidden="false" customHeight="false" outlineLevel="0" collapsed="false">
      <c r="B20" s="0" t="s">
        <v>307</v>
      </c>
    </row>
    <row r="21" customFormat="false" ht="15" hidden="false" customHeight="false" outlineLevel="0" collapsed="false">
      <c r="B21" s="0" t="s">
        <v>280</v>
      </c>
      <c r="C21" s="0" t="n">
        <f aca="false">COUNTIF(E5:E15,"D")</f>
        <v>4</v>
      </c>
    </row>
    <row r="22" customFormat="false" ht="15" hidden="false" customHeight="false" outlineLevel="0" collapsed="false">
      <c r="B22" s="0" t="s">
        <v>285</v>
      </c>
      <c r="C22" s="0" t="n">
        <f aca="false">COUNTIF(E5:E15,"F")</f>
        <v>6</v>
      </c>
    </row>
    <row r="23" customFormat="false" ht="15" hidden="false" customHeight="false" outlineLevel="0" collapsed="false">
      <c r="B23" s="0" t="s">
        <v>303</v>
      </c>
      <c r="C23" s="0" t="n">
        <f aca="false">COUNTIF(E5:E15,"S")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308</v>
      </c>
    </row>
    <row r="3" customFormat="false" ht="15" hidden="false" customHeight="false" outlineLevel="0" collapsed="false">
      <c r="A3" s="12" t="s">
        <v>309</v>
      </c>
    </row>
    <row r="4" customFormat="false" ht="15" hidden="false" customHeight="false" outlineLevel="0" collapsed="false">
      <c r="A4" s="0" t="s">
        <v>310</v>
      </c>
      <c r="B4" s="21" t="n">
        <f aca="false">5.5*4</f>
        <v>22</v>
      </c>
    </row>
    <row r="5" customFormat="false" ht="15" hidden="false" customHeight="false" outlineLevel="0" collapsed="false">
      <c r="A5" s="0" t="s">
        <v>311</v>
      </c>
      <c r="B5" s="3" t="n">
        <f aca="false">45000*(1+0.075/4)^22</f>
        <v>67717.3870816568</v>
      </c>
    </row>
    <row r="6" customFormat="false" ht="15" hidden="false" customHeight="false" outlineLevel="0" collapsed="false">
      <c r="A6" s="0" t="s">
        <v>312</v>
      </c>
      <c r="B6" s="3" t="n">
        <f aca="false">FV(0.075/4,22,0,-45000)</f>
        <v>67717.3870816568</v>
      </c>
    </row>
    <row r="8" customFormat="false" ht="15" hidden="false" customHeight="false" outlineLevel="0" collapsed="false">
      <c r="A8" s="12" t="s">
        <v>313</v>
      </c>
    </row>
    <row r="9" customFormat="false" ht="15" hidden="false" customHeight="false" outlineLevel="0" collapsed="false">
      <c r="A9" s="0" t="s">
        <v>314</v>
      </c>
      <c r="B9" s="3" t="n">
        <f aca="false">125000/(1+0.12/12)^48</f>
        <v>77532.5506331497</v>
      </c>
    </row>
    <row r="10" customFormat="false" ht="15" hidden="false" customHeight="false" outlineLevel="0" collapsed="false">
      <c r="A10" s="0" t="s">
        <v>315</v>
      </c>
      <c r="B10" s="3" t="n">
        <f aca="false">PV(0.01,48,0,-125000)</f>
        <v>77532.5506331497</v>
      </c>
    </row>
    <row r="12" customFormat="false" ht="15" hidden="false" customHeight="false" outlineLevel="0" collapsed="false">
      <c r="A12" s="12" t="s">
        <v>316</v>
      </c>
    </row>
    <row r="13" customFormat="false" ht="15" hidden="false" customHeight="false" outlineLevel="0" collapsed="false">
      <c r="A13" s="0" t="s">
        <v>317</v>
      </c>
      <c r="B13" s="3" t="n">
        <f aca="false">10000/1.09+15000/1.09^3+8000/1.09^5</f>
        <v>25956.5152179082</v>
      </c>
    </row>
    <row r="15" customFormat="false" ht="15" hidden="false" customHeight="false" outlineLevel="0" collapsed="false">
      <c r="A15" s="12" t="s">
        <v>318</v>
      </c>
    </row>
    <row r="16" customFormat="false" ht="15" hidden="false" customHeight="false" outlineLevel="0" collapsed="false">
      <c r="A16" s="0" t="s">
        <v>319</v>
      </c>
      <c r="B16" s="3" t="n">
        <f aca="false">60000*(1-1.11^-6)/0.11</f>
        <v>253832.271224296</v>
      </c>
    </row>
    <row r="17" customFormat="false" ht="15" hidden="false" customHeight="false" outlineLevel="0" collapsed="false">
      <c r="A17" s="0" t="s">
        <v>320</v>
      </c>
      <c r="B17" s="3" t="n">
        <f aca="false">B16-250000</f>
        <v>3832.27122429558</v>
      </c>
    </row>
    <row r="18" customFormat="false" ht="15" hidden="false" customHeight="false" outlineLevel="0" collapsed="false">
      <c r="A18" s="0" t="s">
        <v>321</v>
      </c>
      <c r="B18" s="13" t="n">
        <f aca="false">IRR({-250000,60000,60000,60000,60000,60000,60000})</f>
        <v>0.115304732164743</v>
      </c>
    </row>
    <row r="19" customFormat="false" ht="15" hidden="false" customHeight="false" outlineLevel="0" collapsed="false">
      <c r="A19" s="0" t="s">
        <v>322</v>
      </c>
    </row>
    <row r="21" customFormat="false" ht="15" hidden="false" customHeight="false" outlineLevel="0" collapsed="false">
      <c r="A21" s="12" t="s">
        <v>323</v>
      </c>
    </row>
    <row r="22" customFormat="false" ht="15" hidden="false" customHeight="false" outlineLevel="0" collapsed="false">
      <c r="A22" s="0" t="s">
        <v>324</v>
      </c>
      <c r="B22" s="3" t="n">
        <f aca="false">NPV(0.04,7500,12000,20000,25000)-50000</f>
        <v>7456.24496691291</v>
      </c>
    </row>
    <row r="23" customFormat="false" ht="15" hidden="false" customHeight="false" outlineLevel="0" collapsed="false">
      <c r="A23" s="0" t="s">
        <v>321</v>
      </c>
      <c r="B23" s="13" t="n">
        <f aca="false">IRR({-50000,7500,12000,20000,25000})</f>
        <v>0.0910235773073618</v>
      </c>
    </row>
    <row r="24" customFormat="false" ht="15" hidden="false" customHeight="false" outlineLevel="0" collapsed="false">
      <c r="A24" s="0" t="s">
        <v>325</v>
      </c>
    </row>
    <row r="26" customFormat="false" ht="15" hidden="false" customHeight="false" outlineLevel="0" collapsed="false">
      <c r="A26" s="12" t="s">
        <v>326</v>
      </c>
    </row>
    <row r="27" customFormat="false" ht="15" hidden="false" customHeight="false" outlineLevel="0" collapsed="false">
      <c r="A27" s="0" t="s">
        <v>324</v>
      </c>
      <c r="B27" s="3" t="n">
        <f aca="false">NPV(0.1,300000,350000,375000,300000+150000)-1000000</f>
        <v>151082.576326753</v>
      </c>
    </row>
    <row r="28" customFormat="false" ht="15" hidden="false" customHeight="false" outlineLevel="0" collapsed="false">
      <c r="A28" s="0" t="s">
        <v>321</v>
      </c>
      <c r="B28" s="13" t="n">
        <f aca="false">IRR({-1000000,300000,350000,375000,450000})</f>
        <v>0.16351233760605</v>
      </c>
    </row>
    <row r="29" customFormat="false" ht="15" hidden="false" customHeight="false" outlineLevel="0" collapsed="false">
      <c r="A29" s="0" t="s">
        <v>327</v>
      </c>
    </row>
    <row r="31" customFormat="false" ht="15" hidden="false" customHeight="false" outlineLevel="0" collapsed="false">
      <c r="A31" s="12" t="s">
        <v>328</v>
      </c>
    </row>
    <row r="32" customFormat="false" ht="15" hidden="false" customHeight="false" outlineLevel="0" collapsed="false">
      <c r="A32" s="0" t="s">
        <v>329</v>
      </c>
      <c r="B32" s="3" t="n">
        <f aca="false">NPV(0.08,25000,25000,25000)-50000</f>
        <v>14427.424681197</v>
      </c>
    </row>
    <row r="33" customFormat="false" ht="15" hidden="false" customHeight="false" outlineLevel="0" collapsed="false">
      <c r="A33" s="0" t="s">
        <v>330</v>
      </c>
      <c r="B33" s="3" t="n">
        <f aca="false">NPV(0.08,10000,20000,45000)-50000</f>
        <v>12128.4865112026</v>
      </c>
    </row>
    <row r="34" customFormat="false" ht="15" hidden="false" customHeight="false" outlineLevel="0" collapsed="false">
      <c r="A34" s="0" t="s">
        <v>331</v>
      </c>
      <c r="B34" s="13" t="n">
        <f aca="false">IRR({-50000,25000,25000,25000})</f>
        <v>0.233751928528259</v>
      </c>
    </row>
    <row r="35" customFormat="false" ht="15" hidden="false" customHeight="false" outlineLevel="0" collapsed="false">
      <c r="A35" s="0" t="s">
        <v>332</v>
      </c>
      <c r="B35" s="13" t="n">
        <f aca="false">IRR({-50000,10000,20000,45000})</f>
        <v>0.182248307308676</v>
      </c>
    </row>
    <row r="36" customFormat="false" ht="15" hidden="false" customHeight="false" outlineLevel="0" collapsed="false">
      <c r="A36" s="0" t="s">
        <v>333</v>
      </c>
    </row>
    <row r="38" customFormat="false" ht="15" hidden="false" customHeight="false" outlineLevel="0" collapsed="false">
      <c r="A38" s="12" t="s">
        <v>334</v>
      </c>
    </row>
    <row r="39" customFormat="false" ht="15" hidden="false" customHeight="false" outlineLevel="0" collapsed="false">
      <c r="A39" s="2" t="s">
        <v>335</v>
      </c>
      <c r="B39" s="2" t="s">
        <v>324</v>
      </c>
      <c r="C39" s="2" t="s">
        <v>336</v>
      </c>
    </row>
    <row r="40" customFormat="false" ht="15" hidden="false" customHeight="false" outlineLevel="0" collapsed="false">
      <c r="A40" s="22" t="n">
        <v>0.08</v>
      </c>
      <c r="B40" s="3" t="n">
        <f aca="false">NPV(A40,25000,25000,25000)-50000</f>
        <v>14427.424681197</v>
      </c>
      <c r="C40" s="0" t="str">
        <f aca="false">IF(B40&gt;0,"Aceptar","Rechazar")</f>
        <v>Aceptar</v>
      </c>
    </row>
    <row r="41" customFormat="false" ht="15" hidden="false" customHeight="false" outlineLevel="0" collapsed="false">
      <c r="A41" s="22" t="n">
        <v>0.15</v>
      </c>
      <c r="B41" s="3" t="n">
        <f aca="false">NPV(A41,25000,25000,25000)-50000</f>
        <v>7080.62792800198</v>
      </c>
      <c r="C41" s="0" t="str">
        <f aca="false">IF(B41&gt;0,"Aceptar","Rechazar")</f>
        <v>Aceptar</v>
      </c>
    </row>
    <row r="42" customFormat="false" ht="15" hidden="false" customHeight="false" outlineLevel="0" collapsed="false">
      <c r="A42" s="22" t="n">
        <v>0.2</v>
      </c>
      <c r="B42" s="3" t="n">
        <f aca="false">NPV(A42,25000,25000,25000)-50000</f>
        <v>2662.03703703704</v>
      </c>
      <c r="C42" s="0" t="str">
        <f aca="false">IF(B42&gt;0,"Aceptar","Rechazar")</f>
        <v>Aceptar</v>
      </c>
    </row>
    <row r="43" customFormat="false" ht="15" hidden="false" customHeight="false" outlineLevel="0" collapsed="false">
      <c r="A43" s="22" t="n">
        <v>0.25</v>
      </c>
      <c r="B43" s="3" t="n">
        <f aca="false">NPV(A43,25000,25000,25000)-50000</f>
        <v>-1200</v>
      </c>
      <c r="C43" s="0" t="str">
        <f aca="false">IF(B43&gt;0,"Aceptar","Rechazar")</f>
        <v>Rechazar</v>
      </c>
    </row>
    <row r="44" customFormat="false" ht="15" hidden="false" customHeight="false" outlineLevel="0" collapsed="false">
      <c r="A44" s="0" t="s">
        <v>337</v>
      </c>
    </row>
    <row r="46" customFormat="false" ht="15" hidden="false" customHeight="false" outlineLevel="0" collapsed="false">
      <c r="A46" s="12" t="s">
        <v>338</v>
      </c>
    </row>
    <row r="47" customFormat="false" ht="15" hidden="false" customHeight="false" outlineLevel="0" collapsed="false">
      <c r="A47" s="0" t="s">
        <v>339</v>
      </c>
      <c r="B47" s="3" t="n">
        <f aca="false">NPV(0.14,180000,200000,190000,170000)-500000</f>
        <v>40686.4777674802</v>
      </c>
    </row>
    <row r="48" customFormat="false" ht="15" hidden="false" customHeight="false" outlineLevel="0" collapsed="false">
      <c r="A48" s="0" t="s">
        <v>340</v>
      </c>
      <c r="B48" s="3" t="n">
        <f aca="false">NPV(0.22,180000,200000,190000,170000)-500000</f>
        <v>-36714.3823188494</v>
      </c>
    </row>
    <row r="49" customFormat="false" ht="15" hidden="false" customHeight="false" outlineLevel="0" collapsed="false">
      <c r="A49" s="0" t="s">
        <v>341</v>
      </c>
      <c r="B49" s="13" t="n">
        <f aca="false">0.14+0.08*B47/(B47-B48)</f>
        <v>0.182052739695244</v>
      </c>
    </row>
    <row r="50" customFormat="false" ht="15" hidden="false" customHeight="false" outlineLevel="0" collapsed="false">
      <c r="A50" s="0" t="s">
        <v>342</v>
      </c>
      <c r="B50" s="13" t="n">
        <f aca="false">IRR({-500000,180000,200000,190000,170000})</f>
        <v>0.179485086136705</v>
      </c>
    </row>
    <row r="51" customFormat="false" ht="15" hidden="false" customHeight="false" outlineLevel="0" collapsed="false">
      <c r="A51" s="0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2026-10-22T17:33:47Z</dcterms:created>
  <dc:creator>openpyxl</dc:creator>
  <dc:description/>
  <dc:language>en-US</dc:language>
  <cp:lastModifiedBy/>
  <dcterms:modified xsi:type="dcterms:W3CDTF">2026-10-22T17:33:47Z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